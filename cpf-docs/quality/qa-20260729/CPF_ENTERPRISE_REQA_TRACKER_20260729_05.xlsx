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9dd370e25944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1a0933f7637f4181"/>
    <x:sheet xmlns:r="http://schemas.openxmlformats.org/officeDocument/2006/relationships" name="Scenarios" sheetId="2" r:id="R400d7c110b664cdd"/>
    <x:sheet xmlns:r="http://schemas.openxmlformats.org/officeDocument/2006/relationships" name="ADM Matrix" sheetId="3" r:id="Rc3d28384f5d44aa9"/>
    <x:sheet xmlns:r="http://schemas.openxmlformats.org/officeDocument/2006/relationships" name="Known Gaps" sheetId="4" r:id="Rf4708761d47149bc"/>
    <x:sheet xmlns:r="http://schemas.openxmlformats.org/officeDocument/2006/relationships" name="Summary" sheetId="5" r:id="Rd15417a416f340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243E"/>
      </x:patternFill>
    </x:fill>
    <x:fill>
      <x:patternFill patternType="solid">
        <x:fgColor rgb="FFD9EAF7"/>
      </x:patternFill>
    </x:fill>
    <x:fill>
      <x:patternFill patternType="solid">
        <x:fgColor rgb="FFF4B183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2863c77c1b46cc" /><Relationship Type="http://schemas.openxmlformats.org/officeDocument/2006/relationships/theme" Target="/xl/theme/theme1.xml" Id="R78964946838247f9" /><Relationship Type="http://schemas.openxmlformats.org/officeDocument/2006/relationships/sharedStrings" Target="/xl/sharedStrings.xml" Id="R792d3b226de24db5" /><Relationship Type="http://schemas.openxmlformats.org/officeDocument/2006/relationships/worksheet" Target="/xl/worksheets/sheet1.xml" Id="R1a0933f7637f4181" /><Relationship Type="http://schemas.openxmlformats.org/officeDocument/2006/relationships/worksheet" Target="/xl/worksheets/sheet2.xml" Id="R400d7c110b664cdd" /><Relationship Type="http://schemas.openxmlformats.org/officeDocument/2006/relationships/worksheet" Target="/xl/worksheets/sheet3.xml" Id="Rc3d28384f5d44aa9" /><Relationship Type="http://schemas.openxmlformats.org/officeDocument/2006/relationships/worksheet" Target="/xl/worksheets/sheet4.xml" Id="Rf4708761d47149bc" /><Relationship Type="http://schemas.openxmlformats.org/officeDocument/2006/relationships/worksheet" Target="/xl/worksheets/sheet5.xml" Id="Rd15417a416f340d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94e0dbc630240a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신규 QA Area별 요구사항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건수</c:v>
          </c:tx>
          <c:cat>
            <c:strRef>
              <c:f>'Summary'!$G$4:$G$12</c:f>
              <c:strCache>
                <c:ptCount val="0"/>
              </c:strCache>
            </c:strRef>
          </c:cat>
          <c:val>
            <c:numRef>
              <c:f>'Summary'!$H$4:$H$12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4e0dbc630240a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ventoryTable" displayName="InventoryTable" ref="A1:L817" headerRowCount="1">
  <x:tableColumns count="12">
    <x:tableColumn id="1" name="id"/>
    <x:tableColumn id="2" name="area"/>
    <x:tableColumn id="3" name="work_package"/>
    <x:tableColumn id="4" name="status"/>
    <x:tableColumn id="5" name="severity"/>
    <x:tableColumn id="6" name="title"/>
    <x:tableColumn id="7" name="requirement"/>
    <x:tableColumn id="8" name="validation"/>
    <x:tableColumn id="9" name="evidence_or_scope"/>
    <x:tableColumn id="10" name="depends_on"/>
    <x:tableColumn id="11" name="protected_regression"/>
    <x:tableColumn id="12" name="environment_class"/>
  </x:tableColumns>
  <x:tableStyleInfo name="TableStyleMedium2" showRowStripes="1"/>
</x:table>
</file>

<file path=xl/tables/table2.xml><?xml version="1.0" encoding="utf-8"?>
<x:table xmlns:x="http://schemas.openxmlformats.org/spreadsheetml/2006/main" id="2" name="ScenarioTable" displayName="ScenarioTable" ref="A1:I300" headerRowCount="1">
  <x:tableColumns count="9">
    <x:tableColumn id="1" name="id"/>
    <x:tableColumn id="2" name="area"/>
    <x:tableColumn id="3" name="work_package"/>
    <x:tableColumn id="4" name="title"/>
    <x:tableColumn id="5" name="setup"/>
    <x:tableColumn id="6" name="steps"/>
    <x:tableColumn id="7" name="expected"/>
    <x:tableColumn id="8" name="evidence"/>
    <x:tableColumn id="9" name="environment"/>
  </x:tableColumns>
  <x:tableStyleInfo name="TableStyleMedium2" showRowStripes="1"/>
</x:table>
</file>

<file path=xl/tables/table3.xml><?xml version="1.0" encoding="utf-8"?>
<x:table xmlns:x="http://schemas.openxmlformats.org/spreadsheetml/2006/main" id="3" name="AdmMatrixTable" displayName="AdmMatrixTable" ref="A1:X21" headerRowCount="1">
  <x:tableColumns count="24">
    <x:tableColumn id="1" name="capability"/>
    <x:tableColumn id="2" name="owner_module"/>
    <x:tableColumn id="3" name="runtime_consumer"/>
    <x:tableColumn id="4" name="target_scope"/>
    <x:tableColumn id="5" name="managed_data"/>
    <x:tableColumn id="6" name="current_state"/>
    <x:tableColumn id="7" name="target_snapshot"/>
    <x:tableColumn id="8" name="preview"/>
    <x:tableColumn id="9" name="permission"/>
    <x:tableColumn id="10" name="approval"/>
    <x:tableColumn id="11" name="operation_id_cas"/>
    <x:tableColumn id="12" name="desired"/>
    <x:tableColumn id="13" name="delivery"/>
    <x:tableColumn id="14" name="ack_actual"/>
    <x:tableColumn id="15" name="drift"/>
    <x:tableColumn id="16" name="retry"/>
    <x:tableColumn id="17" name="cancel"/>
    <x:tableColumn id="18" name="rollback_reconcile"/>
    <x:tableColumn id="19" name="restart_required"/>
    <x:tableColumn id="20" name="audit_masking"/>
    <x:tableColumn id="21" name="adm_ui"/>
    <x:tableColumn id="22" name="runtime_tests"/>
    <x:tableColumn id="23" name="evidence"/>
    <x:tableColumn id="24" name="completion_prohibition"/>
  </x:tableColumns>
  <x:tableStyleInfo name="TableStyleMedium2" showRowStripes="1"/>
</x:table>
</file>

<file path=xl/tables/table4.xml><?xml version="1.0" encoding="utf-8"?>
<x:table xmlns:x="http://schemas.openxmlformats.org/spreadsheetml/2006/main" id="4" name="KnownGapsTable" displayName="KnownGapsTable" ref="A1:J15" headerRowCount="1">
  <x:tableColumns count="10">
    <x:tableColumn id="1" name="id"/>
    <x:tableColumn id="2" name="status"/>
    <x:tableColumn id="3" name="severity"/>
    <x:tableColumn id="4" name="evidence_type"/>
    <x:tableColumn id="5" name="title"/>
    <x:tableColumn id="6" name="source_path"/>
    <x:tableColumn id="7" name="observed_behavior"/>
    <x:tableColumn id="8" name="required_recheck"/>
    <x:tableColumn id="9" name="target_requirement"/>
    <x:tableColumn id="10" name="completion_prohibi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ebfedeec234d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c07b0f4d4543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7f118d0515543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365406add174a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e11575cdbc484c2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0" hidden="0" customWidth="1"/>
    <x:col min="4" max="4" width="12" hidden="0" customWidth="1"/>
    <x:col min="5" max="5" width="8" hidden="0" customWidth="1"/>
    <x:col min="6" max="6" width="32" hidden="0" customWidth="1"/>
    <x:col min="7" max="7" width="52" hidden="0" customWidth="1"/>
    <x:col min="8" max="8" width="52" hidden="0" customWidth="1"/>
    <x:col min="9" max="9" width="36" hidden="0" customWidth="1"/>
    <x:col min="10" max="10" width="18" hidden="0" customWidth="1"/>
    <x:col min="11" max="11" width="28" hidden="0" customWidth="1"/>
    <x:col min="12" max="12" width="18" hidden="0" customWidth="1"/>
  </x:cols>
  <x:sheetData>
    <x:row r="1">
      <x:c r="A1" s="6" t="str">
        <x:v>id</x:v>
      </x:c>
      <x:c r="B1" s="6" t="str">
        <x:v>area</x:v>
      </x:c>
      <x:c r="C1" s="6" t="str">
        <x:v>work_package</x:v>
      </x:c>
      <x:c r="D1" s="6" t="str">
        <x:v>status</x:v>
      </x:c>
      <x:c r="E1" s="6" t="str">
        <x:v>severity</x:v>
      </x:c>
      <x:c r="F1" s="6" t="str">
        <x:v>title</x:v>
      </x:c>
      <x:c r="G1" s="6" t="str">
        <x:v>requirement</x:v>
      </x:c>
      <x:c r="H1" s="6" t="str">
        <x:v>validation</x:v>
      </x:c>
      <x:c r="I1" s="6" t="str">
        <x:v>evidence_or_scope</x:v>
      </x:c>
      <x:c r="J1" s="6" t="str">
        <x:v>depends_on</x:v>
      </x:c>
      <x:c r="K1" s="6" t="str">
        <x:v>protected_regression</x:v>
      </x:c>
      <x:c r="L1" s="6" t="str">
        <x:v>environment_class</x:v>
      </x:c>
    </x:row>
    <x:row r="2">
      <x:c r="A2" s="12" t="str">
        <x:v>CPF-QA-D03-FND-001</x:v>
      </x:c>
      <x:c r="B2" s="12" t="str">
        <x:v>FND</x:v>
      </x:c>
      <x:c r="C2" s="12" t="str">
        <x:v>WP00</x:v>
      </x:c>
      <x:c r="D2" s="12" t="str">
        <x:v>실패</x:v>
      </x:c>
      <x:c r="E2" s="12" t="str">
        <x:v>P0</x:v>
      </x:c>
      <x:c r="F2" s="12" t="str">
        <x:v>최신 master SHA Required CI 부재</x:v>
      </x:c>
      <x:c r="G2" s="12" t="str">
        <x:v>최신 master SHA에 Build/Test/Frontend/Security/DB/Artifact/Evidence Required Check를 연결하고, 미실행 SHA를 Release·완료로 판정하지 않는다.</x:v>
      </x:c>
      <x:c r="H2" s="12" t="str">
        <x:v>GitHub Actions 또는 동등 CI가 정확한 SHA에서 실행되고 모든 필수 Check가 성공해야 한다. workflow/status 0건이면 실패다.</x:v>
      </x:c>
      <x:c r="I2" s="12" t="str">
        <x:v>GitHub latest SHA 9fa4bb0; workflow_runs=[]</x:v>
      </x:c>
      <x:c r="J2" s="12" t="str"/>
      <x:c r="K2" s="12" t="str"/>
      <x:c r="L2" s="12" t="str"/>
    </x:row>
    <x:row r="3">
      <x:c r="A3" s="12" t="str">
        <x:v>CPF-QA-D03-FND-002</x:v>
      </x:c>
      <x:c r="B3" s="12" t="str">
        <x:v>FND</x:v>
      </x:c>
      <x:c r="C3" s="12" t="str">
        <x:v>WP00</x:v>
      </x:c>
      <x:c r="D3" s="12" t="str">
        <x:v>실패</x:v>
      </x:c>
      <x:c r="E3" s="12" t="str">
        <x:v>P0</x:v>
      </x:c>
      <x:c r="F3" s="12" t="str">
        <x:v>Current Request 기준 Commit 드리프트</x:v>
      </x:c>
      <x:c r="G3" s="12" t="str">
        <x:v>CPF_CURRENT_WORK_REQUEST.md, Next Request, Remaining Matrix, Handover, Validation Ledger가 모두 최신 SHA 9fa4bb0을 동일 기준으로 사용하도록 정리한다.</x:v>
      </x:c>
      <x:c r="H3" s="12" t="str">
        <x:v>문서별 기준 SHA 자동 검사에서 불일치 0건, 과거 Overlay 경로를 현재 정본으로 참조하는 항목 0건이어야 한다.</x:v>
      </x:c>
      <x:c r="I3" s="12" t="str">
        <x:v>cpf-docs/work/current/CPF_CURRENT_WORK_REQUEST.md: ecaddd 기준</x:v>
      </x:c>
      <x:c r="J3" s="12" t="str"/>
      <x:c r="K3" s="12" t="str"/>
      <x:c r="L3" s="12" t="str"/>
    </x:row>
    <x:row r="4">
      <x:c r="A4" s="12" t="str">
        <x:v>CPF-QA-D03-FND-003</x:v>
      </x:c>
      <x:c r="B4" s="12" t="str">
        <x:v>FND</x:v>
      </x:c>
      <x:c r="C4" s="12" t="str">
        <x:v>WP00</x:v>
      </x:c>
      <x:c r="D4" s="12" t="str">
        <x:v>실패</x:v>
      </x:c>
      <x:c r="E4" s="12" t="str">
        <x:v>P0</x:v>
      </x:c>
      <x:c r="F4" s="12" t="str">
        <x:v>Validation Ledger 최신 SHA 불일치</x:v>
      </x:c>
      <x:c r="G4" s="12" t="str">
        <x:v>과거 ecaddd Overlay·Java21 독립 검증을 최신 9fa4bb0 통합 검증으로 승계하지 말고 새 Ledger를 작성한다.</x:v>
      </x:c>
      <x:c r="H4" s="12" t="str">
        <x:v>각 Evidence에 exact SHA, 명령, 시작·종료 시각, 환경, 실제 출력, redaction, 판정 근거가 있어야 한다.</x:v>
      </x:c>
      <x:c r="I4" s="12" t="str">
        <x:v>cpf-tools/verification/20260728_02/VALIDATION_LEDGER.md</x:v>
      </x:c>
      <x:c r="J4" s="12" t="str"/>
      <x:c r="K4" s="12" t="str"/>
      <x:c r="L4" s="12" t="str"/>
    </x:row>
    <x:row r="5">
      <x:c r="A5" s="12" t="str">
        <x:v>CPF-QA-D03-FND-004</x:v>
      </x:c>
      <x:c r="B5" s="12" t="str">
        <x:v>FND</x:v>
      </x:c>
      <x:c r="C5" s="12" t="str">
        <x:v>WP00</x:v>
      </x:c>
      <x:c r="D5" s="12" t="str">
        <x:v>실패</x:v>
      </x:c>
      <x:c r="E5" s="12" t="str">
        <x:v>P0</x:v>
      </x:c>
      <x:c r="F5" s="12" t="str">
        <x:v>Overlay 작업 디렉터리 PASS를 Repository PASS로 오인</x:v>
      </x:c>
      <x:c r="G5" s="12" t="str">
        <x:v>STATIC_VALIDATION_RESULT의 /mnt/data Overlay 결과와 실제 최신 master 결과를 분리하고, Repository checkout 기준 재실행 결과만 최신 PASS로 인정한다.</x:v>
      </x:c>
      <x:c r="H5" s="12" t="str">
        <x:v>overlay root가 아닌 최신 master root에서 동일 Gate를 실행하고 파일 hash와 git status를 Evidence로 남긴다.</x:v>
      </x:c>
      <x:c r="I5" s="12" t="str">
        <x:v>STATIC_VALIDATION_RESULT.json root=/mnt/data/...</x:v>
      </x:c>
      <x:c r="J5" s="12" t="str"/>
      <x:c r="K5" s="12" t="str"/>
      <x:c r="L5" s="12" t="str"/>
    </x:row>
    <x:row r="6">
      <x:c r="A6" s="12" t="str">
        <x:v>CPF-QA-D03-FND-005</x:v>
      </x:c>
      <x:c r="B6" s="12" t="str">
        <x:v>FND</x:v>
      </x:c>
      <x:c r="C6" s="12" t="str">
        <x:v>WP00</x:v>
      </x:c>
      <x:c r="D6" s="12" t="str">
        <x:v>실패</x:v>
      </x:c>
      <x:c r="E6" s="12" t="str">
        <x:v>P0</x:v>
      </x:c>
      <x:c r="F6" s="12" t="str">
        <x:v>한 줄 PASS Evidence 증거 불충분</x:v>
      </x:c>
      <x:c r="G6" s="12" t="str">
        <x:v>BATCH_RUNTIME_5_CONSUMER_POLICY_PASS 같은 단일 표식 파일을 성공 Evidence로 인정하지 않고 실제 명령·출력·환경·테스트 케이스를 보존한다.</x:v>
      </x:c>
      <x:c r="H6" s="12" t="str">
        <x:v>Evidence contract 필수 필드를 누락한 파일을 Gate가 실패시키고 재현 가능한 로그를 생성해야 한다.</x:v>
      </x:c>
      <x:c r="I6" s="12" t="str">
        <x:v>evidence/BATCH_RUNTIME_5_CONSUMER_POLICY.txt</x:v>
      </x:c>
      <x:c r="J6" s="12" t="str"/>
      <x:c r="K6" s="12" t="str"/>
      <x:c r="L6" s="12" t="str"/>
    </x:row>
    <x:row r="7">
      <x:c r="A7" s="12" t="str">
        <x:v>CPF-QA-D03-FND-006</x:v>
      </x:c>
      <x:c r="B7" s="12" t="str">
        <x:v>FND</x:v>
      </x:c>
      <x:c r="C7" s="12" t="str">
        <x:v>WP00</x:v>
      </x:c>
      <x:c r="D7" s="12" t="str">
        <x:v>미검증</x:v>
      </x:c>
      <x:c r="E7" s="12" t="str">
        <x:v>P0</x:v>
      </x:c>
      <x:c r="F7" s="12" t="str">
        <x:v>기존 1,214 QA 요구사항 최신 SHA 전수 재판정 미실행</x:v>
      </x:c>
      <x:c r="G7" s="12" t="str">
        <x:v>기존 Inventory 1,214개를 폐기·일괄 완료하지 말고 최신 SHA에서 Source/API/SQL/UI/Test/Runtime/Evidence로 개별 재판정한다.</x:v>
      </x:c>
      <x:c r="H7" s="12" t="str">
        <x:v>모든 기존 ID가 최신 상태와 근거를 가지며 누락·중복·이름 변경 은폐가 0건이어야 한다.</x:v>
      </x:c>
      <x:c r="I7" s="12" t="str">
        <x:v>CPF_ENTERPRISE_FULL_QA_INVENTORY_20260728.csv</x:v>
      </x:c>
      <x:c r="J7" s="12" t="str"/>
      <x:c r="K7" s="12" t="str"/>
      <x:c r="L7" s="12" t="str"/>
    </x:row>
    <x:row r="8">
      <x:c r="A8" s="12" t="str">
        <x:v>CPF-QA-D03-FND-007</x:v>
      </x:c>
      <x:c r="B8" s="12" t="str">
        <x:v>FND</x:v>
      </x:c>
      <x:c r="C8" s="12" t="str">
        <x:v>WP00</x:v>
      </x:c>
      <x:c r="D8" s="12" t="str">
        <x:v>미검증</x:v>
      </x:c>
      <x:c r="E8" s="12" t="str">
        <x:v>P0</x:v>
      </x:c>
      <x:c r="F8" s="12" t="str">
        <x:v>기존 201 실행 시나리오 최신 SHA 전수 실행 미완료</x:v>
      </x:c>
      <x:c r="G8" s="12" t="str">
        <x:v>기존 실행 시나리오 201개와 본 Delta 시나리오를 선행조건별로 병합·순서화해 실행한다.</x:v>
      </x:c>
      <x:c r="H8" s="12" t="str">
        <x:v>각 시나리오에 실제 결과와 Evidence가 연결되고 미실행은 미검증으로 유지된다.</x:v>
      </x:c>
      <x:c r="I8" s="12" t="str">
        <x:v>CPF_ENTERPRISE_FULL_QA_EXECUTION_SCENARIOS_20260728.csv</x:v>
      </x:c>
      <x:c r="J8" s="12" t="str"/>
      <x:c r="K8" s="12" t="str"/>
      <x:c r="L8" s="12" t="str"/>
    </x:row>
    <x:row r="9">
      <x:c r="A9" s="12" t="str">
        <x:v>CPF-QA-D03-FND-008</x:v>
      </x:c>
      <x:c r="B9" s="12" t="str">
        <x:v>FND</x:v>
      </x:c>
      <x:c r="C9" s="12" t="str">
        <x:v>WP00</x:v>
      </x:c>
      <x:c r="D9" s="12" t="str">
        <x:v>실패</x:v>
      </x:c>
      <x:c r="E9" s="12" t="str">
        <x:v>P0</x:v>
      </x:c>
      <x:c r="F9" s="12" t="str">
        <x:v>완료 Matrix와 미검증 조건의 모순</x:v>
      </x:c>
      <x:c r="G9" s="12" t="str">
        <x:v>Browser·실DB·다중 인스턴스·분산 Batch·전체 Build가 미검증인 기능을 완료로 표시하지 않도록 상태 판정 규칙을 수정한다.</x:v>
      </x:c>
      <x:c r="H9" s="12" t="str">
        <x:v>완료 행은 최신 SHA 실행 Evidence를 가져야 하며 없으면 부분 구현 또는 미검증으로 자동 강등된다.</x:v>
      </x:c>
      <x:c r="I9" s="12" t="str">
        <x:v>CPF_REMAINING_REQUIREMENT_MATRIX_20260728_02.md</x:v>
      </x:c>
      <x:c r="J9" s="12" t="str"/>
      <x:c r="K9" s="12" t="str"/>
      <x:c r="L9" s="12" t="str"/>
    </x:row>
    <x:row r="10">
      <x:c r="A10" s="12" t="str">
        <x:v>CPF-QA-D03-FND-009</x:v>
      </x:c>
      <x:c r="B10" s="12" t="str">
        <x:v>FND</x:v>
      </x:c>
      <x:c r="C10" s="12" t="str">
        <x:v>WP00</x:v>
      </x:c>
      <x:c r="D10" s="12" t="str">
        <x:v>부분 구현</x:v>
      </x:c>
      <x:c r="E10" s="12" t="str">
        <x:v>P1</x:v>
      </x:c>
      <x:c r="F10" s="12" t="str">
        <x:v>중간 Overlay 산출물 Current 영역 잔존</x:v>
      </x:c>
      <x:c r="G10" s="12" t="str">
        <x:v>CPF_INTERMEDIATE_*와 Overlay 적용용 중간 문서를 Current 정본과 분리하고 필요 없는 산출물은 제거한다.</x:v>
      </x:c>
      <x:c r="H10" s="12" t="str">
        <x:v>Current 폴더에는 현재 요청·다음 요청·현재 Matrix 등 역할별 정본만 남고 중간 작업본은 archive 또는 삭제된다.</x:v>
      </x:c>
      <x:c r="I10" s="12" t="str">
        <x:v>cpf-docs/work/current/CPF_INTERMEDIATE_*</x:v>
      </x:c>
      <x:c r="J10" s="12" t="str"/>
      <x:c r="K10" s="12" t="str"/>
      <x:c r="L10" s="12" t="str"/>
    </x:row>
    <x:row r="11">
      <x:c r="A11" s="12" t="str">
        <x:v>CPF-QA-D03-FND-010</x:v>
      </x:c>
      <x:c r="B11" s="12" t="str">
        <x:v>FND</x:v>
      </x:c>
      <x:c r="C11" s="12" t="str">
        <x:v>WP00</x:v>
      </x:c>
      <x:c r="D11" s="12" t="str">
        <x:v>미검증</x:v>
      </x:c>
      <x:c r="E11" s="12" t="str">
        <x:v>P0</x:v>
      </x:c>
      <x:c r="F11" s="12" t="str">
        <x:v>Java25·Gradle9.1 전체 clean test assemble 미실행</x:v>
      </x:c>
      <x:c r="G11" s="12" t="str">
        <x:v>최신 master 전체를 Java25/Gradle9.1에서 clean test assemble qualityGate로 검증한다.</x:v>
      </x:c>
      <x:c r="H11" s="12" t="str">
        <x:v>빌드 캐시 없는 clean checkout에서도 모든 공식 Module과 선택 Reference 검증 Matrix가 성공해야 한다.</x:v>
      </x:c>
      <x:c r="I11" s="12" t="str">
        <x:v>IMPLEMENTATION_REPORT 미검증 목록</x:v>
      </x:c>
      <x:c r="J11" s="12" t="str"/>
      <x:c r="K11" s="12" t="str"/>
      <x:c r="L11" s="12" t="str"/>
    </x:row>
    <x:row r="12">
      <x:c r="A12" s="12" t="str">
        <x:v>CPF-QA-D03-FND-011</x:v>
      </x:c>
      <x:c r="B12" s="12" t="str">
        <x:v>FND</x:v>
      </x:c>
      <x:c r="C12" s="12" t="str">
        <x:v>WP00</x:v>
      </x:c>
      <x:c r="D12" s="12" t="str">
        <x:v>미검증</x:v>
      </x:c>
      <x:c r="E12" s="12" t="str">
        <x:v>P0</x:v>
      </x:c>
      <x:c r="F12" s="12" t="str">
        <x:v>WAS 실제 통합 실행 Evidence 부재</x:v>
      </x:c>
      <x:c r="G12" s="12" t="str">
        <x:v>현재 사용 가능한 WAS 환경에서 ADM/BZA/Gateway/업무 Domain을 동일 JVM·분리 WAS 양쪽으로 실행 검증한다.</x:v>
      </x:c>
      <x:c r="H12" s="12" t="str">
        <x:v>기동·Health·권한·Local/Remote 호출·오류·Shutdown Evidence가 최신 SHA로 존재해야 한다.</x:v>
      </x:c>
      <x:c r="I12" s="12" t="str">
        <x:v>사용자 제공 환경: WAS 가능</x:v>
      </x:c>
      <x:c r="J12" s="12" t="str"/>
      <x:c r="K12" s="12" t="str"/>
      <x:c r="L12" s="12" t="str"/>
    </x:row>
    <x:row r="13">
      <x:c r="A13" s="12" t="str">
        <x:v>CPF-QA-D03-FND-012</x:v>
      </x:c>
      <x:c r="B13" s="12" t="str">
        <x:v>FND</x:v>
      </x:c>
      <x:c r="C13" s="12" t="str">
        <x:v>WP00</x:v>
      </x:c>
      <x:c r="D13" s="12" t="str">
        <x:v>미검증</x:v>
      </x:c>
      <x:c r="E13" s="12" t="str">
        <x:v>P0</x:v>
      </x:c>
      <x:c r="F13" s="12" t="str">
        <x:v>MariaDB 실제 Lifecycle·Runtime 검증 미완료</x:v>
      </x:c>
      <x:c r="G13" s="12" t="str">
        <x:v>현재 설치 가능한 MariaDB에서 fresh install, migration, upgrade, rollback/recovery, reapply, runtime query, drift를 실행한다.</x:v>
      </x:c>
      <x:c r="H13" s="12" t="str">
        <x:v>schema/data/index/FK/check/checksum/runtime API가 실제 DB에서 성공해야 한다.</x:v>
      </x:c>
      <x:c r="I13" s="12" t="str">
        <x:v>사용자 제공 환경: MariaDB 가능</x:v>
      </x:c>
      <x:c r="J13" s="12" t="str"/>
      <x:c r="K13" s="12" t="str"/>
      <x:c r="L13" s="12" t="str"/>
    </x:row>
    <x:row r="14">
      <x:c r="A14" s="12" t="str">
        <x:v>CPF-QA-D03-FND-013</x:v>
      </x:c>
      <x:c r="B14" s="12" t="str">
        <x:v>FND</x:v>
      </x:c>
      <x:c r="C14" s="12" t="str">
        <x:v>WP00</x:v>
      </x:c>
      <x:c r="D14" s="12" t="str">
        <x:v>미검증</x:v>
      </x:c>
      <x:c r="E14" s="12" t="str">
        <x:v>P1</x:v>
      </x:c>
      <x:c r="F14" s="12" t="str">
        <x:v>PostgreSQL·Oracle 실환경 검증 지연 정책 미정</x:v>
      </x:c>
      <x:c r="G14" s="12" t="str">
        <x:v>공식 Vendor 구현·정적 parity는 유지하되 현재 미설치 PostgreSQL·Oracle 실검증은 미검증으로 명시하고 재현 절차를 남긴다.</x:v>
      </x:c>
      <x:c r="H14" s="12" t="str">
        <x:v>미실행을 완료로 기록하지 않으며 추후 환경 확보 시 동일 Scenario로 검증 가능해야 한다.</x:v>
      </x:c>
      <x:c r="I14" s="12" t="str">
        <x:v>현재 로컬 미설치</x:v>
      </x:c>
      <x:c r="J14" s="12" t="str"/>
      <x:c r="K14" s="12" t="str"/>
      <x:c r="L14" s="12" t="str"/>
    </x:row>
    <x:row r="15">
      <x:c r="A15" s="12" t="str">
        <x:v>CPF-QA-D03-ARCH-001</x:v>
      </x:c>
      <x:c r="B15" s="12" t="str">
        <x:v>ARCH</x:v>
      </x:c>
      <x:c r="C15" s="12" t="str">
        <x:v>WP01</x:v>
      </x:c>
      <x:c r="D15" s="12" t="str">
        <x:v>실패</x:v>
      </x:c>
      <x:c r="E15" s="12" t="str">
        <x:v>P0</x:v>
      </x:c>
      <x:c r="F15" s="12" t="str">
        <x:v>cpf-admin의 cpf-core common 구현 Package 직접 의존</x:v>
      </x:c>
      <x:c r="G15" s="12" t="str">
        <x:v>ADM Controller·Service가 com.cpf.core.common 구현 예외·실행·로그 Class를 직접 import하지 않고 Public API 또는 운영 Contract에 의존하도록 이관한다.</x:v>
      </x:c>
      <x:c r="H15" s="12" t="str">
        <x:v>ArchUnit/compile Gate에서 외부 Module의 core common/internal import 0건이어야 한다.</x:v>
      </x:c>
      <x:c r="I15" s="12" t="str">
        <x:v>AdmRuntimeControlController, AdmNotificationController/Service</x:v>
      </x:c>
      <x:c r="J15" s="12" t="str"/>
      <x:c r="K15" s="12" t="str"/>
      <x:c r="L15" s="12" t="str"/>
    </x:row>
    <x:row r="16">
      <x:c r="A16" s="12" t="str">
        <x:v>CPF-QA-D03-ALR-001</x:v>
      </x:c>
      <x:c r="B16" s="12" t="str">
        <x:v>ALR</x:v>
      </x:c>
      <x:c r="C16" s="12" t="str">
        <x:v>WP09</x:v>
      </x:c>
      <x:c r="D16" s="12" t="str">
        <x:v>실패</x:v>
      </x:c>
      <x:c r="E16" s="12" t="str">
        <x:v>P0</x:v>
      </x:c>
      <x:c r="F16" s="12" t="str">
        <x:v>Notification Repository MariaDB 전용 SQL</x:v>
      </x:c>
      <x:c r="G16" s="12" t="str">
        <x:v>알림 규칙·발송 이력 저장에서 LIMIT ?, ON DUPLICATE KEY, CURRENT_TIMESTAMP(3), LAST_INSERT_ID() 직접 사용을 제거하고 공식 3 Vendor Query Pack/Repository 계약으로 이관한다.</x:v>
      </x:c>
      <x:c r="H16" s="12" t="str">
        <x:v>MariaDB/PostgreSQL/Oracle query prepare·execute parity와 동시 upsert/ID 생성 테스트가 성공해야 한다.</x:v>
      </x:c>
      <x:c r="I16" s="12" t="str">
        <x:v>AdmNotificationService.java</x:v>
      </x:c>
      <x:c r="J16" s="12" t="str"/>
      <x:c r="K16" s="12" t="str"/>
      <x:c r="L16" s="12" t="str"/>
    </x:row>
    <x:row r="17">
      <x:c r="A17" s="12" t="str">
        <x:v>CPF-QA-D03-ALR-002</x:v>
      </x:c>
      <x:c r="B17" s="12" t="str">
        <x:v>ALR</x:v>
      </x:c>
      <x:c r="C17" s="12" t="str">
        <x:v>WP09</x:v>
      </x:c>
      <x:c r="D17" s="12" t="str">
        <x:v>실패</x:v>
      </x:c>
      <x:c r="E17" s="12" t="str">
        <x:v>P0</x:v>
      </x:c>
      <x:c r="F17" s="12" t="str">
        <x:v>Notification 운영자 식별 fallback 허용</x:v>
      </x:c>
      <x:c r="G17" s="12" t="str">
        <x:v>인증된 adm.operatorId가 없을 때 request body 또는 ADM 문자열로 대체하지 말고 401/403으로 fail-closed한다.</x:v>
      </x:c>
      <x:c r="H17" s="12" t="str">
        <x:v>위조 requestUser, 미인증 요청, 세션 만료 요청이 저장·발송·감사를 수행하지 않아야 한다.</x:v>
      </x:c>
      <x:c r="I17" s="12" t="str">
        <x:v>AdmNotificationController.requestUser</x:v>
      </x:c>
      <x:c r="J17" s="12" t="str"/>
      <x:c r="K17" s="12" t="str"/>
      <x:c r="L17" s="12" t="str"/>
    </x:row>
    <x:row r="18">
      <x:c r="A18" s="12" t="str">
        <x:v>CPF-QA-D03-ALR-003</x:v>
      </x:c>
      <x:c r="B18" s="12" t="str">
        <x:v>ALR</x:v>
      </x:c>
      <x:c r="C18" s="12" t="str">
        <x:v>WP09</x:v>
      </x:c>
      <x:c r="D18" s="12" t="str">
        <x:v>부분 구현</x:v>
      </x:c>
      <x:c r="E18" s="12" t="str">
        <x:v>P0</x:v>
      </x:c>
      <x:c r="F18" s="12" t="str">
        <x:v>알림이 Mock 동기 발송에 한정</x:v>
      </x:c>
      <x:c r="G18" s="12" t="str">
        <x:v>표준 Alert Event→Notification Outbox→별도 Worker→Provider 구조를 구현하고 원 업무 Transaction과 발송 Transaction을 분리한다.</x:v>
      </x:c>
      <x:c r="H18" s="12" t="str">
        <x:v>업무 성공 후 발송 장애, DB 장애, Provider timeout, 재시도, DLQ, 수동 재처리를 fault test한다.</x:v>
      </x:c>
      <x:c r="I18" s="12" t="str">
        <x:v>MockNotificationSender only</x:v>
      </x:c>
      <x:c r="J18" s="12" t="str"/>
      <x:c r="K18" s="12" t="str"/>
      <x:c r="L18" s="12" t="str"/>
    </x:row>
    <x:row r="19">
      <x:c r="A19" s="12" t="str">
        <x:v>CPF-QA-D03-INS-001</x:v>
      </x:c>
      <x:c r="B19" s="12" t="str">
        <x:v>INS</x:v>
      </x:c>
      <x:c r="C19" s="12" t="str">
        <x:v>WP10</x:v>
      </x:c>
      <x:c r="D19" s="12" t="str">
        <x:v>부분 구현</x:v>
      </x:c>
      <x:c r="E19" s="12" t="str">
        <x:v>P0</x:v>
      </x:c>
      <x:c r="F19" s="12" t="str">
        <x:v>Runtime Group에 Domain·Cluster·Application Group 정식 모델 부족</x:v>
      </x:c>
      <x:c r="G19" s="12" t="str">
        <x:v>환경→플랫폼/클러스터→시스템/도메인→애플리케이션 그룹→인스턴스 계층을 정식 Metadata로 관리한다.</x:v>
      </x:c>
      <x:c r="H19" s="12" t="str">
        <x:v>도메인·역할·환경·클러스터·운영담당·정책별 조회/권한/target snapshot이 다중 인스턴스에서 일치해야 한다.</x:v>
      </x:c>
      <x:c r="I19" s="12" t="str">
        <x:v>CpfRuntimeGroupCommand/V64 group table</x:v>
      </x:c>
      <x:c r="J19" s="12" t="str"/>
      <x:c r="K19" s="12" t="str"/>
      <x:c r="L19" s="12" t="str"/>
    </x:row>
    <x:row r="20">
      <x:c r="A20" s="12" t="str">
        <x:v>CPF-QA-D03-BATOPS-001</x:v>
      </x:c>
      <x:c r="B20" s="12" t="str">
        <x:v>BATOPS</x:v>
      </x:c>
      <x:c r="C20" s="12" t="str">
        <x:v>WP05</x:v>
      </x:c>
      <x:c r="D20" s="12" t="str">
        <x:v>부분 구현</x:v>
      </x:c>
      <x:c r="E20" s="12" t="str">
        <x:v>P0</x:v>
      </x:c>
      <x:c r="F20" s="12" t="str">
        <x:v>ADM Batch 메뉴가 조회 중심 Generic View</x:v>
      </x:c>
      <x:c r="G20" s="12" t="str">
        <x:v>Batch 강제 실행·잠금·중지·재개·고스트 해제·재처리를 실제 Command API와 전용 위험조치 UX로 구현한다.</x:v>
      </x:c>
      <x:c r="H20" s="12" t="str">
        <x:v>Preview→사유→승인→CAS/fencing→실행→결과/감사 전 과정을 Browser/API/DB/Runtime으로 검증한다.</x:v>
      </x:c>
      <x:c r="I20" s="12" t="str">
        <x:v>BatchViewPage.vue/API GET 중심</x:v>
      </x:c>
      <x:c r="J20" s="12" t="str"/>
      <x:c r="K20" s="12" t="str"/>
      <x:c r="L20" s="12" t="str"/>
    </x:row>
    <x:row r="21">
      <x:c r="A21" s="12" t="str">
        <x:v>CPF-QA-D03-LOCAL-001</x:v>
      </x:c>
      <x:c r="B21" s="12" t="str">
        <x:v>LOCAL</x:v>
      </x:c>
      <x:c r="C21" s="12" t="str">
        <x:v>WP02</x:v>
      </x:c>
      <x:c r="D21" s="12" t="str">
        <x:v>부분 구현</x:v>
      </x:c>
      <x:c r="E21" s="12" t="str">
        <x:v>P0</x:v>
      </x:c>
      <x:c r="F21" s="12" t="str">
        <x:v>Local Web All-in-One 개발 Runtime 부재</x:v>
      </x:c>
      <x:c r="G21" s="12" t="str">
        <x:v>ADM/BZA/Gateway/선택 업무 API를 1 JVM·1 HTTP Port로 조합하는 개발 전용 Launcher와 profile을 제공한다.</x:v>
      </x:c>
      <x:c r="H21" s="12" t="str">
        <x:v>minimal/standard/full/integration profile의 기동·메모리·route·Local Facade·module flag를 검증한다.</x:v>
      </x:c>
      <x:c r="I21" s="12" t="str">
        <x:v>settings.gradle에 독립 모듈만 확인</x:v>
      </x:c>
      <x:c r="J21" s="12" t="str"/>
      <x:c r="K21" s="12" t="str"/>
      <x:c r="L21" s="12" t="str"/>
    </x:row>
    <x:row r="22">
      <x:c r="A22" s="12" t="str">
        <x:v>CPF-QA-D03-EDU-001</x:v>
      </x:c>
      <x:c r="B22" s="12" t="str">
        <x:v>EDU</x:v>
      </x:c>
      <x:c r="C22" s="12" t="str">
        <x:v>WP06</x:v>
      </x:c>
      <x:c r="D22" s="12" t="str">
        <x:v>부분 구현</x:v>
      </x:c>
      <x:c r="E22" s="12" t="str">
        <x:v>P0</x:v>
      </x:c>
      <x:c r="F22" s="12" t="str">
        <x:v>cpf-reference 기본 검증 경로 제외</x:v>
      </x:c>
      <x:c r="G22" s="12" t="str">
        <x:v>Reference Domain을 제품 기본 Runtime에는 강제하지 않되 Required CI의 별도 Matrix에서 생성·빌드·실행·테스트하도록 한다.</x:v>
      </x:c>
      <x:c r="H22" s="12" t="str">
        <x:v>cpfIncludeReferenceDomains=true clean build/test가 최신 SHA 필수 Check로 실행되어야 한다.</x:v>
      </x:c>
      <x:c r="I22" s="12" t="str">
        <x:v>settings.gradle optional reference</x:v>
      </x:c>
      <x:c r="J22" s="12" t="str"/>
      <x:c r="K22" s="12" t="str"/>
      <x:c r="L22" s="12" t="str"/>
    </x:row>
    <x:row r="23">
      <x:c r="A23" s="12" t="str">
        <x:v>CPF-QA-D03-EDU-002</x:v>
      </x:c>
      <x:c r="B23" s="12" t="str">
        <x:v>EDU</x:v>
      </x:c>
      <x:c r="C23" s="12" t="str">
        <x:v>WP06</x:v>
      </x:c>
      <x:c r="D23" s="12" t="str">
        <x:v>부분 구현</x:v>
      </x:c>
      <x:c r="E23" s="12" t="str">
        <x:v>P1</x:v>
      </x:c>
      <x:c r="F23" s="12" t="str">
        <x:v>cpf-reference 상위 실행 Guide 부재</x:v>
      </x:c>
      <x:c r="G23" s="12" t="str">
        <x:v>Reference 전체 기능 카탈로그, 사전조건, 실행법, DB 초기화, 오류/복구, 예상 결과를 제공하는 정본 Guide를 둔다.</x:v>
      </x:c>
      <x:c r="H23" s="12" t="str">
        <x:v>Guide의 모든 명령과 링크가 최신 SHA에서 실행·유효해야 한다.</x:v>
      </x:c>
      <x:c r="I23" s="12" t="str">
        <x:v>cpf-reference/README.md not found</x:v>
      </x:c>
      <x:c r="J23" s="12" t="str"/>
      <x:c r="K23" s="12" t="str"/>
      <x:c r="L23" s="12" t="str"/>
    </x:row>
    <x:row r="24">
      <x:c r="A24" s="12" t="str">
        <x:v>CPF-QA-D03-LOG-001</x:v>
      </x:c>
      <x:c r="B24" s="12" t="str">
        <x:v>LOG</x:v>
      </x:c>
      <x:c r="C24" s="12" t="str">
        <x:v>WP10</x:v>
      </x:c>
      <x:c r="D24" s="12" t="str">
        <x:v>부분 구현</x:v>
      </x:c>
      <x:c r="E24" s="12" t="str">
        <x:v>P0</x:v>
      </x:c>
      <x:c r="F24" s="12" t="str">
        <x:v>Agent 로그 ZIP 임시파일 Lifecycle 불완전</x:v>
      </x:c>
      <x:c r="G24" s="12" t="str">
        <x:v>로그 ZIP 생성·전송 후 임시파일 자동 삭제, 중단/오류 cleanup, 보관시간 제한을 구현한다.</x:v>
      </x:c>
      <x:c r="H24" s="12" t="str">
        <x:v>정상·취소·클라이언트 disconnect·Agent 종료 시 잔존 임시파일 0건을 검증한다.</x:v>
      </x:c>
      <x:c r="I24" s="12" t="str">
        <x:v>LogArchiveService.java</x:v>
      </x:c>
      <x:c r="J24" s="12" t="str"/>
      <x:c r="K24" s="12" t="str"/>
      <x:c r="L24" s="12" t="str"/>
    </x:row>
    <x:row r="25">
      <x:c r="A25" s="12" t="str">
        <x:v>CPF-QA-D03-LOG-002</x:v>
      </x:c>
      <x:c r="B25" s="12" t="str">
        <x:v>LOG</x:v>
      </x:c>
      <x:c r="C25" s="12" t="str">
        <x:v>WP10</x:v>
      </x:c>
      <x:c r="D25" s="12" t="str">
        <x:v>부분 구현</x:v>
      </x:c>
      <x:c r="E25" s="12" t="str">
        <x:v>P0</x:v>
      </x:c>
      <x:c r="F25" s="12" t="str">
        <x:v>로그 다운로드 민감정보 마스킹 부재</x:v>
      </x:c>
      <x:c r="G25" s="12" t="str">
        <x:v>다운로드 대상 로그에 CPF Masking 정책을 적용하거나 승인된 원본 반출 절차를 별도 제공한다.</x:v>
      </x:c>
      <x:c r="H25" s="12" t="str">
        <x:v>PII/Token/Secret fixture가 권한·승인 정책에 따라 마스킹되고 감사 이력이 남아야 한다.</x:v>
      </x:c>
      <x:c r="I25" s="12" t="str">
        <x:v>LogArchiveService raw copy</x:v>
      </x:c>
      <x:c r="J25" s="12" t="str"/>
      <x:c r="K25" s="12" t="str"/>
      <x:c r="L25" s="12" t="str"/>
    </x:row>
    <x:row r="26">
      <x:c r="A26" s="12" t="str">
        <x:v>CPF-QA-D03-LOG-003</x:v>
      </x:c>
      <x:c r="B26" s="12" t="str">
        <x:v>LOG</x:v>
      </x:c>
      <x:c r="C26" s="12" t="str">
        <x:v>WP10</x:v>
      </x:c>
      <x:c r="D26" s="12" t="str">
        <x:v>부분 구현</x:v>
      </x:c>
      <x:c r="E26" s="12" t="str">
        <x:v>P1</x:v>
      </x:c>
      <x:c r="F26" s="12" t="str">
        <x:v>로그 Archive 선생성으로 대용량 디스크 부하</x:v>
      </x:c>
      <x:c r="G26" s="12" t="str">
        <x:v>파일 전체를 임시 ZIP으로 완성한 뒤 반환하는 방식에 용량·동시성·Streaming 정책을 추가한다.</x:v>
      </x:c>
      <x:c r="H26" s="12" t="str">
        <x:v>대용량·다중 다운로드에서 메모리/디스크 상한, backpressure, 취소가 보장되어야 한다.</x:v>
      </x:c>
      <x:c r="I26" s="12" t="str">
        <x:v>AgentController FileSystemResource</x:v>
      </x:c>
      <x:c r="J26" s="12" t="str"/>
      <x:c r="K26" s="12" t="str"/>
      <x:c r="L26" s="12" t="str"/>
    </x:row>
    <x:row r="27">
      <x:c r="A27" s="12" t="str">
        <x:v>CPF-QA-D03-ARCH-002</x:v>
      </x:c>
      <x:c r="B27" s="12" t="str">
        <x:v>ARCH</x:v>
      </x:c>
      <x:c r="C27" s="12" t="str">
        <x:v>WP01</x:v>
      </x:c>
      <x:c r="D27" s="12" t="str">
        <x:v>재확인 필요</x:v>
      </x:c>
      <x:c r="E27" s="12" t="str">
        <x:v>P0</x:v>
      </x:c>
      <x:c r="F27" s="12" t="str">
        <x:v>Public API·SPI·Internal Package 경계 강제</x:v>
      </x:c>
      <x:c r="G27" s="12" t="str">
        <x:v>정본 Ownership을 기준으로 **Public API·SPI·Internal Package 경계 강제** 기능을 제품 계약·기본 구현·실제 Consumer·운영 기능까지 연결한다. 단순 Interface, 화면 Route, Sample 문자열만으로 완료 처리하지 않는다.</x:v>
      </x:c>
      <x:c r="H27" s="12" t="str">
        <x:v>ArchUnit·jdeps·compile dependency·Source scan으로 정상·오류·경계·부분 실패·재시도/복구·권한·감사·다중 인스턴스 영향까지 자동 Test와 최신 SHA Evidence로 검증한다.</x:v>
      </x:c>
      <x:c r="I27" s="12" t="str"/>
      <x:c r="J27" s="12" t="str"/>
      <x:c r="K27" s="12" t="str"/>
      <x:c r="L27" s="12" t="str"/>
    </x:row>
    <x:row r="28">
      <x:c r="A28" s="12" t="str">
        <x:v>CPF-QA-D03-ARCH-003</x:v>
      </x:c>
      <x:c r="B28" s="12" t="str">
        <x:v>ARCH</x:v>
      </x:c>
      <x:c r="C28" s="12" t="str">
        <x:v>WP01</x:v>
      </x:c>
      <x:c r="D28" s="12" t="str">
        <x:v>재확인 필요</x:v>
      </x:c>
      <x:c r="E28" s="12" t="str">
        <x:v>P0</x:v>
      </x:c>
      <x:c r="F28" s="12" t="str">
        <x:v>외부 Module의 core common/internal 직접 import 전수 제거</x:v>
      </x:c>
      <x:c r="G28" s="12" t="str">
        <x:v>정본 Ownership을 기준으로 **외부 Module의 core common/internal 직접 import 전수 제거** 기능을 제품 계약·기본 구현·실제 Consumer·운영 기능까지 연결한다. 단순 Interface, 화면 Route, Sample 문자열만으로 완료 처리하지 않는다.</x:v>
      </x:c>
      <x:c r="H28" s="12" t="str">
        <x:v>ArchUnit·jdeps·compile dependency·Source scan으로 정상·오류·경계·부분 실패·재시도/복구·권한·감사·다중 인스턴스 영향까지 자동 Test와 최신 SHA Evidence로 검증한다.</x:v>
      </x:c>
      <x:c r="I28" s="12" t="str"/>
      <x:c r="J28" s="12" t="str"/>
      <x:c r="K28" s="12" t="str"/>
      <x:c r="L28" s="12" t="str"/>
    </x:row>
    <x:row r="29">
      <x:c r="A29" s="12" t="str">
        <x:v>CPF-QA-D03-ARCH-004</x:v>
      </x:c>
      <x:c r="B29" s="12" t="str">
        <x:v>ARCH</x:v>
      </x:c>
      <x:c r="C29" s="12" t="str">
        <x:v>WP01</x:v>
      </x:c>
      <x:c r="D29" s="12" t="str">
        <x:v>재확인 필요</x:v>
      </x:c>
      <x:c r="E29" s="12" t="str">
        <x:v>P0</x:v>
      </x:c>
      <x:c r="F29" s="12" t="str">
        <x:v>ADM의 다른 Owner DB 직접 변경 금지</x:v>
      </x:c>
      <x:c r="G29" s="12" t="str">
        <x:v>정본 Ownership을 기준으로 **ADM의 다른 Owner DB 직접 변경 금지** 기능을 제품 계약·기본 구현·실제 Consumer·운영 기능까지 연결한다. 단순 Interface, 화면 Route, Sample 문자열만으로 완료 처리하지 않는다.</x:v>
      </x:c>
      <x:c r="H29" s="12" t="str">
        <x:v>ArchUnit·jdeps·compile dependency·Source scan으로 정상·오류·경계·부분 실패·재시도/복구·권한·감사·다중 인스턴스 영향까지 자동 Test와 최신 SHA Evidence로 검증한다.</x:v>
      </x:c>
      <x:c r="I29" s="12" t="str"/>
      <x:c r="J29" s="12" t="str"/>
      <x:c r="K29" s="12" t="str"/>
      <x:c r="L29" s="12" t="str"/>
    </x:row>
    <x:row r="30">
      <x:c r="A30" s="12" t="str">
        <x:v>CPF-QA-D03-ARCH-005</x:v>
      </x:c>
      <x:c r="B30" s="12" t="str">
        <x:v>ARCH</x:v>
      </x:c>
      <x:c r="C30" s="12" t="str">
        <x:v>WP01</x:v>
      </x:c>
      <x:c r="D30" s="12" t="str">
        <x:v>재확인 필요</x:v>
      </x:c>
      <x:c r="E30" s="12" t="str">
        <x:v>P0</x:v>
      </x:c>
      <x:c r="F30" s="12" t="str">
        <x:v>BZA의 업무 Owner Command API 경계</x:v>
      </x:c>
      <x:c r="G30" s="12" t="str">
        <x:v>정본 Ownership을 기준으로 **BZA의 업무 Owner Command API 경계** 기능을 제품 계약·기본 구현·실제 Consumer·운영 기능까지 연결한다. 단순 Interface, 화면 Route, Sample 문자열만으로 완료 처리하지 않는다.</x:v>
      </x:c>
      <x:c r="H30" s="12" t="str">
        <x:v>ArchUnit·jdeps·compile dependency·Source scan으로 정상·오류·경계·부분 실패·재시도/복구·권한·감사·다중 인스턴스 영향까지 자동 Test와 최신 SHA Evidence로 검증한다.</x:v>
      </x:c>
      <x:c r="I30" s="12" t="str"/>
      <x:c r="J30" s="12" t="str"/>
      <x:c r="K30" s="12" t="str"/>
      <x:c r="L30" s="12" t="str"/>
    </x:row>
    <x:row r="31">
      <x:c r="A31" s="12" t="str">
        <x:v>CPF-QA-D03-ARCH-006</x:v>
      </x:c>
      <x:c r="B31" s="12" t="str">
        <x:v>ARCH</x:v>
      </x:c>
      <x:c r="C31" s="12" t="str">
        <x:v>WP01</x:v>
      </x:c>
      <x:c r="D31" s="12" t="str">
        <x:v>재확인 필요</x:v>
      </x:c>
      <x:c r="E31" s="12" t="str">
        <x:v>P0</x:v>
      </x:c>
      <x:c r="F31" s="12" t="str">
        <x:v>Batch의 Business Public Contract 의존</x:v>
      </x:c>
      <x:c r="G31" s="12" t="str">
        <x:v>정본 Ownership을 기준으로 **Batch의 Business Public Contract 의존** 기능을 제품 계약·기본 구현·실제 Consumer·운영 기능까지 연결한다. 단순 Interface, 화면 Route, Sample 문자열만으로 완료 처리하지 않는다.</x:v>
      </x:c>
      <x:c r="H31" s="12" t="str">
        <x:v>ArchUnit·jdeps·compile dependency·Source scan으로 정상·오류·경계·부분 실패·재시도/복구·권한·감사·다중 인스턴스 영향까지 자동 Test와 최신 SHA Evidence로 검증한다.</x:v>
      </x:c>
      <x:c r="I31" s="12" t="str"/>
      <x:c r="J31" s="12" t="str"/>
      <x:c r="K31" s="12" t="str"/>
      <x:c r="L31" s="12" t="str"/>
    </x:row>
    <x:row r="32">
      <x:c r="A32" s="12" t="str">
        <x:v>CPF-QA-D03-ARCH-007</x:v>
      </x:c>
      <x:c r="B32" s="12" t="str">
        <x:v>ARCH</x:v>
      </x:c>
      <x:c r="C32" s="12" t="str">
        <x:v>WP01</x:v>
      </x:c>
      <x:c r="D32" s="12" t="str">
        <x:v>재확인 필요</x:v>
      </x:c>
      <x:c r="E32" s="12" t="str">
        <x:v>P0</x:v>
      </x:c>
      <x:c r="F32" s="12" t="str">
        <x:v>Gateway의 Public Header·Security Contract 사용</x:v>
      </x:c>
      <x:c r="G32" s="12" t="str">
        <x:v>정본 Ownership을 기준으로 **Gateway의 Public Header·Security Contract 사용** 기능을 제품 계약·기본 구현·실제 Consumer·운영 기능까지 연결한다. 단순 Interface, 화면 Route, Sample 문자열만으로 완료 처리하지 않는다.</x:v>
      </x:c>
      <x:c r="H32" s="12" t="str">
        <x:v>ArchUnit·jdeps·compile dependency·Source scan으로 정상·오류·경계·부분 실패·재시도/복구·권한·감사·다중 인스턴스 영향까지 자동 Test와 최신 SHA Evidence로 검증한다.</x:v>
      </x:c>
      <x:c r="I32" s="12" t="str"/>
      <x:c r="J32" s="12" t="str"/>
      <x:c r="K32" s="12" t="str"/>
      <x:c r="L32" s="12" t="str"/>
    </x:row>
    <x:row r="33">
      <x:c r="A33" s="12" t="str">
        <x:v>CPF-QA-D03-ARCH-008</x:v>
      </x:c>
      <x:c r="B33" s="12" t="str">
        <x:v>ARCH</x:v>
      </x:c>
      <x:c r="C33" s="12" t="str">
        <x:v>WP01</x:v>
      </x:c>
      <x:c r="D33" s="12" t="str">
        <x:v>재확인 필요</x:v>
      </x:c>
      <x:c r="E33" s="12" t="str">
        <x:v>P0</x:v>
      </x:c>
      <x:c r="F33" s="12" t="str">
        <x:v>Topology-independent 계약과 Runtime 구현 분리</x:v>
      </x:c>
      <x:c r="G33" s="12" t="str">
        <x:v>정본 Ownership을 기준으로 **Topology-independent 계약과 Runtime 구현 분리** 기능을 제품 계약·기본 구현·실제 Consumer·운영 기능까지 연결한다. 단순 Interface, 화면 Route, Sample 문자열만으로 완료 처리하지 않는다.</x:v>
      </x:c>
      <x:c r="H33" s="12" t="str">
        <x:v>ArchUnit·jdeps·compile dependency·Source scan으로 정상·오류·경계·부분 실패·재시도/복구·권한·감사·다중 인스턴스 영향까지 자동 Test와 최신 SHA Evidence로 검증한다.</x:v>
      </x:c>
      <x:c r="I33" s="12" t="str"/>
      <x:c r="J33" s="12" t="str"/>
      <x:c r="K33" s="12" t="str"/>
      <x:c r="L33" s="12" t="str"/>
    </x:row>
    <x:row r="34">
      <x:c r="A34" s="12" t="str">
        <x:v>CPF-QA-D03-ARCH-009</x:v>
      </x:c>
      <x:c r="B34" s="12" t="str">
        <x:v>ARCH</x:v>
      </x:c>
      <x:c r="C34" s="12" t="str">
        <x:v>WP01</x:v>
      </x:c>
      <x:c r="D34" s="12" t="str">
        <x:v>재확인 필요</x:v>
      </x:c>
      <x:c r="E34" s="12" t="str">
        <x:v>P0</x:v>
      </x:c>
      <x:c r="F34" s="12" t="str">
        <x:v>실제 Consumer 없는 Interface·Adapter 탐지</x:v>
      </x:c>
      <x:c r="G34" s="12" t="str">
        <x:v>정본 Ownership을 기준으로 **실제 Consumer 없는 Interface·Adapter 탐지** 기능을 제품 계약·기본 구현·실제 Consumer·운영 기능까지 연결한다. 단순 Interface, 화면 Route, Sample 문자열만으로 완료 처리하지 않는다.</x:v>
      </x:c>
      <x:c r="H34" s="12" t="str">
        <x:v>ArchUnit·jdeps·compile dependency·Source scan으로 정상·오류·경계·부분 실패·재시도/복구·권한·감사·다중 인스턴스 영향까지 자동 Test와 최신 SHA Evidence로 검증한다.</x:v>
      </x:c>
      <x:c r="I34" s="12" t="str"/>
      <x:c r="J34" s="12" t="str"/>
      <x:c r="K34" s="12" t="str"/>
      <x:c r="L34" s="12" t="str"/>
    </x:row>
    <x:row r="35">
      <x:c r="A35" s="12" t="str">
        <x:v>CPF-QA-D03-ARCH-010</x:v>
      </x:c>
      <x:c r="B35" s="12" t="str">
        <x:v>ARCH</x:v>
      </x:c>
      <x:c r="C35" s="12" t="str">
        <x:v>WP01</x:v>
      </x:c>
      <x:c r="D35" s="12" t="str">
        <x:v>재확인 필요</x:v>
      </x:c>
      <x:c r="E35" s="12" t="str">
        <x:v>P0</x:v>
      </x:c>
      <x:c r="F35" s="12" t="str">
        <x:v>중복 구현·Dead Code·Legacy 호환물 제거</x:v>
      </x:c>
      <x:c r="G35" s="12" t="str">
        <x:v>정본 Ownership을 기준으로 **중복 구현·Dead Code·Legacy 호환물 제거** 기능을 제품 계약·기본 구현·실제 Consumer·운영 기능까지 연결한다. 단순 Interface, 화면 Route, Sample 문자열만으로 완료 처리하지 않는다.</x:v>
      </x:c>
      <x:c r="H35" s="12" t="str">
        <x:v>ArchUnit·jdeps·compile dependency·Source scan으로 정상·오류·경계·부분 실패·재시도/복구·권한·감사·다중 인스턴스 영향까지 자동 Test와 최신 SHA Evidence로 검증한다.</x:v>
      </x:c>
      <x:c r="I35" s="12" t="str"/>
      <x:c r="J35" s="12" t="str"/>
      <x:c r="K35" s="12" t="str"/>
      <x:c r="L35" s="12" t="str"/>
    </x:row>
    <x:row r="36">
      <x:c r="A36" s="12" t="str">
        <x:v>CPF-QA-D03-ARCH-011</x:v>
      </x:c>
      <x:c r="B36" s="12" t="str">
        <x:v>ARCH</x:v>
      </x:c>
      <x:c r="C36" s="12" t="str">
        <x:v>WP01</x:v>
      </x:c>
      <x:c r="D36" s="12" t="str">
        <x:v>재확인 필요</x:v>
      </x:c>
      <x:c r="E36" s="12" t="str">
        <x:v>P0</x:v>
      </x:c>
      <x:c r="F36" s="12" t="str">
        <x:v>Module 간 순환·역방향 의존 Gate</x:v>
      </x:c>
      <x:c r="G36" s="12" t="str">
        <x:v>정본 Ownership을 기준으로 **Module 간 순환·역방향 의존 Gate** 기능을 제품 계약·기본 구현·실제 Consumer·운영 기능까지 연결한다. 단순 Interface, 화면 Route, Sample 문자열만으로 완료 처리하지 않는다.</x:v>
      </x:c>
      <x:c r="H36" s="12" t="str">
        <x:v>ArchUnit·jdeps·compile dependency·Source scan으로 정상·오류·경계·부분 실패·재시도/복구·권한·감사·다중 인스턴스 영향까지 자동 Test와 최신 SHA Evidence로 검증한다.</x:v>
      </x:c>
      <x:c r="I36" s="12" t="str"/>
      <x:c r="J36" s="12" t="str"/>
      <x:c r="K36" s="12" t="str"/>
      <x:c r="L36" s="12" t="str"/>
    </x:row>
    <x:row r="37">
      <x:c r="A37" s="12" t="str">
        <x:v>CPF-QA-D03-ARCH-012</x:v>
      </x:c>
      <x:c r="B37" s="12" t="str">
        <x:v>ARCH</x:v>
      </x:c>
      <x:c r="C37" s="12" t="str">
        <x:v>WP01</x:v>
      </x:c>
      <x:c r="D37" s="12" t="str">
        <x:v>재확인 필요</x:v>
      </x:c>
      <x:c r="E37" s="12" t="str">
        <x:v>P0</x:v>
      </x:c>
      <x:c r="F37" s="12" t="str">
        <x:v>Provider 유형·예외의 Public API 누출 차단</x:v>
      </x:c>
      <x:c r="G37" s="12" t="str">
        <x:v>정본 Ownership을 기준으로 **Provider 유형·예외의 Public API 누출 차단** 기능을 제품 계약·기본 구현·실제 Consumer·운영 기능까지 연결한다. 단순 Interface, 화면 Route, Sample 문자열만으로 완료 처리하지 않는다.</x:v>
      </x:c>
      <x:c r="H37" s="12" t="str">
        <x:v>ArchUnit·jdeps·compile dependency·Source scan으로 정상·오류·경계·부분 실패·재시도/복구·권한·감사·다중 인스턴스 영향까지 자동 Test와 최신 SHA Evidence로 검증한다.</x:v>
      </x:c>
      <x:c r="I37" s="12" t="str"/>
      <x:c r="J37" s="12" t="str"/>
      <x:c r="K37" s="12" t="str"/>
      <x:c r="L37" s="12" t="str"/>
    </x:row>
    <x:row r="38">
      <x:c r="A38" s="12" t="str">
        <x:v>CPF-QA-D03-ARCH-013</x:v>
      </x:c>
      <x:c r="B38" s="12" t="str">
        <x:v>ARCH</x:v>
      </x:c>
      <x:c r="C38" s="12" t="str">
        <x:v>WP01</x:v>
      </x:c>
      <x:c r="D38" s="12" t="str">
        <x:v>재확인 필요</x:v>
      </x:c>
      <x:c r="E38" s="12" t="str">
        <x:v>P0</x:v>
      </x:c>
      <x:c r="F38" s="12" t="str">
        <x:v>Generated Domain과 CPF 본체 의존 방향 검증</x:v>
      </x:c>
      <x:c r="G38" s="12" t="str">
        <x:v>정본 Ownership을 기준으로 **Generated Domain과 CPF 본체 의존 방향 검증** 기능을 제품 계약·기본 구현·실제 Consumer·운영 기능까지 연결한다. 단순 Interface, 화면 Route, Sample 문자열만으로 완료 처리하지 않는다.</x:v>
      </x:c>
      <x:c r="H38" s="12" t="str">
        <x:v>ArchUnit·jdeps·compile dependency·Source scan으로 정상·오류·경계·부분 실패·재시도/복구·권한·감사·다중 인스턴스 영향까지 자동 Test와 최신 SHA Evidence로 검증한다.</x:v>
      </x:c>
      <x:c r="I38" s="12" t="str"/>
      <x:c r="J38" s="12" t="str"/>
      <x:c r="K38" s="12" t="str"/>
      <x:c r="L38" s="12" t="str"/>
    </x:row>
    <x:row r="39">
      <x:c r="A39" s="12" t="str">
        <x:v>CPF-QA-D03-ARCH-014</x:v>
      </x:c>
      <x:c r="B39" s="12" t="str">
        <x:v>ARCH</x:v>
      </x:c>
      <x:c r="C39" s="12" t="str">
        <x:v>WP01</x:v>
      </x:c>
      <x:c r="D39" s="12" t="str">
        <x:v>재확인 필요</x:v>
      </x:c>
      <x:c r="E39" s="12" t="str">
        <x:v>P0</x:v>
      </x:c>
      <x:c r="F39" s="12" t="str">
        <x:v>Runtime Control Plane Owner와 저장소 경계</x:v>
      </x:c>
      <x:c r="G39" s="12" t="str">
        <x:v>정본 Ownership을 기준으로 **Runtime Control Plane Owner와 저장소 경계** 기능을 제품 계약·기본 구현·실제 Consumer·운영 기능까지 연결한다. 단순 Interface, 화면 Route, Sample 문자열만으로 완료 처리하지 않는다.</x:v>
      </x:c>
      <x:c r="H39" s="12" t="str">
        <x:v>ArchUnit·jdeps·compile dependency·Source scan으로 정상·오류·경계·부분 실패·재시도/복구·권한·감사·다중 인스턴스 영향까지 자동 Test와 최신 SHA Evidence로 검증한다.</x:v>
      </x:c>
      <x:c r="I39" s="12" t="str"/>
      <x:c r="J39" s="12" t="str"/>
      <x:c r="K39" s="12" t="str"/>
      <x:c r="L39" s="12" t="str"/>
    </x:row>
    <x:row r="40">
      <x:c r="A40" s="12" t="str">
        <x:v>CPF-QA-D03-ARCH-015</x:v>
      </x:c>
      <x:c r="B40" s="12" t="str">
        <x:v>ARCH</x:v>
      </x:c>
      <x:c r="C40" s="12" t="str">
        <x:v>WP01</x:v>
      </x:c>
      <x:c r="D40" s="12" t="str">
        <x:v>재확인 필요</x:v>
      </x:c>
      <x:c r="E40" s="12" t="str">
        <x:v>P0</x:v>
      </x:c>
      <x:c r="F40" s="12" t="str">
        <x:v>Notification Event Contract와 ADM 정책 Owner 분리</x:v>
      </x:c>
      <x:c r="G40" s="12" t="str">
        <x:v>정본 Ownership을 기준으로 **Notification Event Contract와 ADM 정책 Owner 분리** 기능을 제품 계약·기본 구현·실제 Consumer·운영 기능까지 연결한다. 단순 Interface, 화면 Route, Sample 문자열만으로 완료 처리하지 않는다.</x:v>
      </x:c>
      <x:c r="H40" s="12" t="str">
        <x:v>ArchUnit·jdeps·compile dependency·Source scan으로 정상·오류·경계·부분 실패·재시도/복구·권한·감사·다중 인스턴스 영향까지 자동 Test와 최신 SHA Evidence로 검증한다.</x:v>
      </x:c>
      <x:c r="I40" s="12" t="str"/>
      <x:c r="J40" s="12" t="str"/>
      <x:c r="K40" s="12" t="str"/>
      <x:c r="L40" s="12" t="str"/>
    </x:row>
    <x:row r="41">
      <x:c r="A41" s="12" t="str">
        <x:v>CPF-QA-D03-ARCH-016</x:v>
      </x:c>
      <x:c r="B41" s="12" t="str">
        <x:v>ARCH</x:v>
      </x:c>
      <x:c r="C41" s="12" t="str">
        <x:v>WP01</x:v>
      </x:c>
      <x:c r="D41" s="12" t="str">
        <x:v>재확인 필요</x:v>
      </x:c>
      <x:c r="E41" s="12" t="str">
        <x:v>P0</x:v>
      </x:c>
      <x:c r="F41" s="12" t="str">
        <x:v>Log Agent·ADM Control Plane 책임 분리</x:v>
      </x:c>
      <x:c r="G41" s="12" t="str">
        <x:v>정본 Ownership을 기준으로 **Log Agent·ADM Control Plane 책임 분리** 기능을 제품 계약·기본 구현·실제 Consumer·운영 기능까지 연결한다. 단순 Interface, 화면 Route, Sample 문자열만으로 완료 처리하지 않는다.</x:v>
      </x:c>
      <x:c r="H41" s="12" t="str">
        <x:v>ArchUnit·jdeps·compile dependency·Source scan으로 정상·오류·경계·부분 실패·재시도/복구·권한·감사·다중 인스턴스 영향까지 자동 Test와 최신 SHA Evidence로 검증한다.</x:v>
      </x:c>
      <x:c r="I41" s="12" t="str"/>
      <x:c r="J41" s="12" t="str"/>
      <x:c r="K41" s="12" t="str"/>
      <x:c r="L41" s="12" t="str"/>
    </x:row>
    <x:row r="42">
      <x:c r="A42" s="12" t="str">
        <x:v>CPF-QA-D03-ARCH-017</x:v>
      </x:c>
      <x:c r="B42" s="12" t="str">
        <x:v>ARCH</x:v>
      </x:c>
      <x:c r="C42" s="12" t="str">
        <x:v>WP01</x:v>
      </x:c>
      <x:c r="D42" s="12" t="str">
        <x:v>재확인 필요</x:v>
      </x:c>
      <x:c r="E42" s="12" t="str">
        <x:v>P0</x:v>
      </x:c>
      <x:c r="F42" s="12" t="str">
        <x:v>Batch Control Server·Scheduler·Worker 책임 분리</x:v>
      </x:c>
      <x:c r="G42" s="12" t="str">
        <x:v>정본 Ownership을 기준으로 **Batch Control Server·Scheduler·Worker 책임 분리** 기능을 제품 계약·기본 구현·실제 Consumer·운영 기능까지 연결한다. 단순 Interface, 화면 Route, Sample 문자열만으로 완료 처리하지 않는다.</x:v>
      </x:c>
      <x:c r="H42" s="12" t="str">
        <x:v>ArchUnit·jdeps·compile dependency·Source scan으로 정상·오류·경계·부분 실패·재시도/복구·권한·감사·다중 인스턴스 영향까지 자동 Test와 최신 SHA Evidence로 검증한다.</x:v>
      </x:c>
      <x:c r="I42" s="12" t="str"/>
      <x:c r="J42" s="12" t="str"/>
      <x:c r="K42" s="12" t="str"/>
      <x:c r="L42" s="12" t="str"/>
    </x:row>
    <x:row r="43">
      <x:c r="A43" s="12" t="str">
        <x:v>CPF-QA-D03-LOCAL-002</x:v>
      </x:c>
      <x:c r="B43" s="12" t="str">
        <x:v>LOCAL</x:v>
      </x:c>
      <x:c r="C43" s="12" t="str">
        <x:v>WP02</x:v>
      </x:c>
      <x:c r="D43" s="12" t="str">
        <x:v>미구현</x:v>
      </x:c>
      <x:c r="E43" s="12" t="str">
        <x:v>P1</x:v>
      </x:c>
      <x:c r="F43" s="12" t="str">
        <x:v>Local Web All-in-One Launcher</x:v>
      </x:c>
      <x:c r="G43" s="12" t="str">
        <x:v>개발 전용 Runtime 구성으로 **Local Web All-in-One Launcher** 기능을 제품 계약·기본 구현·실제 Consumer·운영 기능까지 연결한다. 단순 Interface, 화면 Route, Sample 문자열만으로 완료 처리하지 않는다.</x:v>
      </x:c>
      <x:c r="H43" s="12" t="str">
        <x:v>Windows 개발 PC와 CI에서 profile별 기동·종료·route·메모리 측정으로 정상·오류·경계·부분 실패·재시도/복구·권한·감사·다중 인스턴스 영향까지 자동 Test와 최신 SHA Evidence로 검증한다.</x:v>
      </x:c>
      <x:c r="I43" s="12" t="str"/>
      <x:c r="J43" s="12" t="str">
        <x:v>WP01</x:v>
      </x:c>
      <x:c r="K43" s="12" t="str"/>
      <x:c r="L43" s="12" t="str">
        <x:v>WAS+MariaDB/Mock</x:v>
      </x:c>
    </x:row>
    <x:row r="44">
      <x:c r="A44" s="12" t="str">
        <x:v>CPF-QA-D03-LOCAL-003</x:v>
      </x:c>
      <x:c r="B44" s="12" t="str">
        <x:v>LOCAL</x:v>
      </x:c>
      <x:c r="C44" s="12" t="str">
        <x:v>WP02</x:v>
      </x:c>
      <x:c r="D44" s="12" t="str">
        <x:v>미구현</x:v>
      </x:c>
      <x:c r="E44" s="12" t="str">
        <x:v>P1</x:v>
      </x:c>
      <x:c r="F44" s="12" t="str">
        <x:v>Local Web 1 JVM·1 HTTP Port</x:v>
      </x:c>
      <x:c r="G44" s="12" t="str">
        <x:v>개발 전용 Runtime 구성으로 **Local Web 1 JVM·1 HTTP Port** 기능을 제품 계약·기본 구현·실제 Consumer·운영 기능까지 연결한다. 단순 Interface, 화면 Route, Sample 문자열만으로 완료 처리하지 않는다.</x:v>
      </x:c>
      <x:c r="H44" s="12" t="str">
        <x:v>Windows 개발 PC와 CI에서 profile별 기동·종료·route·메모리 측정으로 정상·오류·경계·부분 실패·재시도/복구·권한·감사·다중 인스턴스 영향까지 자동 Test와 최신 SHA Evidence로 검증한다.</x:v>
      </x:c>
      <x:c r="I44" s="12" t="str"/>
      <x:c r="J44" s="12" t="str">
        <x:v>WP01</x:v>
      </x:c>
      <x:c r="K44" s="12" t="str"/>
      <x:c r="L44" s="12" t="str">
        <x:v>WAS+MariaDB/Mock</x:v>
      </x:c>
    </x:row>
    <x:row r="45">
      <x:c r="A45" s="12" t="str">
        <x:v>CPF-QA-D03-LOCAL-004</x:v>
      </x:c>
      <x:c r="B45" s="12" t="str">
        <x:v>LOCAL</x:v>
      </x:c>
      <x:c r="C45" s="12" t="str">
        <x:v>WP02</x:v>
      </x:c>
      <x:c r="D45" s="12" t="str">
        <x:v>미구현</x:v>
      </x:c>
      <x:c r="E45" s="12" t="str">
        <x:v>P1</x:v>
      </x:c>
      <x:c r="F45" s="12" t="str">
        <x:v>ADM·BZA·Gateway·업무 API 선택 조합</x:v>
      </x:c>
      <x:c r="G45" s="12" t="str">
        <x:v>개발 전용 Runtime 구성으로 **ADM·BZA·Gateway·업무 API 선택 조합** 기능을 제품 계약·기본 구현·실제 Consumer·운영 기능까지 연결한다. 단순 Interface, 화면 Route, Sample 문자열만으로 완료 처리하지 않는다.</x:v>
      </x:c>
      <x:c r="H45" s="12" t="str">
        <x:v>Windows 개발 PC와 CI에서 profile별 기동·종료·route·메모리 측정으로 정상·오류·경계·부분 실패·재시도/복구·권한·감사·다중 인스턴스 영향까지 자동 Test와 최신 SHA Evidence로 검증한다.</x:v>
      </x:c>
      <x:c r="I45" s="12" t="str"/>
      <x:c r="J45" s="12" t="str">
        <x:v>WP01</x:v>
      </x:c>
      <x:c r="K45" s="12" t="str"/>
      <x:c r="L45" s="12" t="str">
        <x:v>WAS+MariaDB/Mock</x:v>
      </x:c>
    </x:row>
    <x:row r="46">
      <x:c r="A46" s="12" t="str">
        <x:v>CPF-QA-D03-LOCAL-005</x:v>
      </x:c>
      <x:c r="B46" s="12" t="str">
        <x:v>LOCAL</x:v>
      </x:c>
      <x:c r="C46" s="12" t="str">
        <x:v>WP02</x:v>
      </x:c>
      <x:c r="D46" s="12" t="str">
        <x:v>미구현</x:v>
      </x:c>
      <x:c r="E46" s="12" t="str">
        <x:v>P1</x:v>
      </x:c>
      <x:c r="F46" s="12" t="str">
        <x:v>Local 내부 호출 HTTP loopback 금지와 Local Facade 사용</x:v>
      </x:c>
      <x:c r="G46" s="12" t="str">
        <x:v>개발 전용 Runtime 구성으로 **Local 내부 호출 HTTP loopback 금지와 Local Facade 사용** 기능을 제품 계약·기본 구현·실제 Consumer·운영 기능까지 연결한다. 단순 Interface, 화면 Route, Sample 문자열만으로 완료 처리하지 않는다.</x:v>
      </x:c>
      <x:c r="H46" s="12" t="str">
        <x:v>Windows 개발 PC와 CI에서 profile별 기동·종료·route·메모리 측정으로 정상·오류·경계·부분 실패·재시도/복구·권한·감사·다중 인스턴스 영향까지 자동 Test와 최신 SHA Evidence로 검증한다.</x:v>
      </x:c>
      <x:c r="I46" s="12" t="str"/>
      <x:c r="J46" s="12" t="str">
        <x:v>WP01</x:v>
      </x:c>
      <x:c r="K46" s="12" t="str"/>
      <x:c r="L46" s="12" t="str">
        <x:v>WAS+MariaDB/Mock</x:v>
      </x:c>
    </x:row>
    <x:row r="47">
      <x:c r="A47" s="12" t="str">
        <x:v>CPF-QA-D03-LOCAL-006</x:v>
      </x:c>
      <x:c r="B47" s="12" t="str">
        <x:v>LOCAL</x:v>
      </x:c>
      <x:c r="C47" s="12" t="str">
        <x:v>WP02</x:v>
      </x:c>
      <x:c r="D47" s="12" t="str">
        <x:v>미구현</x:v>
      </x:c>
      <x:c r="E47" s="12" t="str">
        <x:v>P1</x:v>
      </x:c>
      <x:c r="F47" s="12" t="str">
        <x:v>minimal 개발 profile</x:v>
      </x:c>
      <x:c r="G47" s="12" t="str">
        <x:v>개발 전용 Runtime 구성으로 **minimal 개발 profile** 기능을 제품 계약·기본 구현·실제 Consumer·운영 기능까지 연결한다. 단순 Interface, 화면 Route, Sample 문자열만으로 완료 처리하지 않는다.</x:v>
      </x:c>
      <x:c r="H47" s="12" t="str">
        <x:v>Windows 개발 PC와 CI에서 profile별 기동·종료·route·메모리 측정으로 정상·오류·경계·부분 실패·재시도/복구·권한·감사·다중 인스턴스 영향까지 자동 Test와 최신 SHA Evidence로 검증한다.</x:v>
      </x:c>
      <x:c r="I47" s="12" t="str"/>
      <x:c r="J47" s="12" t="str">
        <x:v>WP01</x:v>
      </x:c>
      <x:c r="K47" s="12" t="str"/>
      <x:c r="L47" s="12" t="str">
        <x:v>WAS+MariaDB/Mock</x:v>
      </x:c>
    </x:row>
    <x:row r="48">
      <x:c r="A48" s="12" t="str">
        <x:v>CPF-QA-D03-LOCAL-007</x:v>
      </x:c>
      <x:c r="B48" s="12" t="str">
        <x:v>LOCAL</x:v>
      </x:c>
      <x:c r="C48" s="12" t="str">
        <x:v>WP02</x:v>
      </x:c>
      <x:c r="D48" s="12" t="str">
        <x:v>미구현</x:v>
      </x:c>
      <x:c r="E48" s="12" t="str">
        <x:v>P1</x:v>
      </x:c>
      <x:c r="F48" s="12" t="str">
        <x:v>standard 개발 profile</x:v>
      </x:c>
      <x:c r="G48" s="12" t="str">
        <x:v>개발 전용 Runtime 구성으로 **standard 개발 profile** 기능을 제품 계약·기본 구현·실제 Consumer·운영 기능까지 연결한다. 단순 Interface, 화면 Route, Sample 문자열만으로 완료 처리하지 않는다.</x:v>
      </x:c>
      <x:c r="H48" s="12" t="str">
        <x:v>Windows 개발 PC와 CI에서 profile별 기동·종료·route·메모리 측정으로 정상·오류·경계·부분 실패·재시도/복구·권한·감사·다중 인스턴스 영향까지 자동 Test와 최신 SHA Evidence로 검증한다.</x:v>
      </x:c>
      <x:c r="I48" s="12" t="str"/>
      <x:c r="J48" s="12" t="str">
        <x:v>WP01</x:v>
      </x:c>
      <x:c r="K48" s="12" t="str"/>
      <x:c r="L48" s="12" t="str">
        <x:v>WAS+MariaDB/Mock</x:v>
      </x:c>
    </x:row>
    <x:row r="49">
      <x:c r="A49" s="12" t="str">
        <x:v>CPF-QA-D03-LOCAL-008</x:v>
      </x:c>
      <x:c r="B49" s="12" t="str">
        <x:v>LOCAL</x:v>
      </x:c>
      <x:c r="C49" s="12" t="str">
        <x:v>WP02</x:v>
      </x:c>
      <x:c r="D49" s="12" t="str">
        <x:v>미구현</x:v>
      </x:c>
      <x:c r="E49" s="12" t="str">
        <x:v>P1</x:v>
      </x:c>
      <x:c r="F49" s="12" t="str">
        <x:v>full 개발 profile</x:v>
      </x:c>
      <x:c r="G49" s="12" t="str">
        <x:v>개발 전용 Runtime 구성으로 **full 개발 profile** 기능을 제품 계약·기본 구현·실제 Consumer·운영 기능까지 연결한다. 단순 Interface, 화면 Route, Sample 문자열만으로 완료 처리하지 않는다.</x:v>
      </x:c>
      <x:c r="H49" s="12" t="str">
        <x:v>Windows 개발 PC와 CI에서 profile별 기동·종료·route·메모리 측정으로 정상·오류·경계·부분 실패·재시도/복구·권한·감사·다중 인스턴스 영향까지 자동 Test와 최신 SHA Evidence로 검증한다.</x:v>
      </x:c>
      <x:c r="I49" s="12" t="str"/>
      <x:c r="J49" s="12" t="str">
        <x:v>WP01</x:v>
      </x:c>
      <x:c r="K49" s="12" t="str"/>
      <x:c r="L49" s="12" t="str">
        <x:v>WAS+MariaDB/Mock</x:v>
      </x:c>
    </x:row>
    <x:row r="50">
      <x:c r="A50" s="12" t="str">
        <x:v>CPF-QA-D03-LOCAL-009</x:v>
      </x:c>
      <x:c r="B50" s="12" t="str">
        <x:v>LOCAL</x:v>
      </x:c>
      <x:c r="C50" s="12" t="str">
        <x:v>WP02</x:v>
      </x:c>
      <x:c r="D50" s="12" t="str">
        <x:v>미구현</x:v>
      </x:c>
      <x:c r="E50" s="12" t="str">
        <x:v>P1</x:v>
      </x:c>
      <x:c r="F50" s="12" t="str">
        <x:v>integration 개발 profile</x:v>
      </x:c>
      <x:c r="G50" s="12" t="str">
        <x:v>개발 전용 Runtime 구성으로 **integration 개발 profile** 기능을 제품 계약·기본 구현·실제 Consumer·운영 기능까지 연결한다. 단순 Interface, 화면 Route, Sample 문자열만으로 완료 처리하지 않는다.</x:v>
      </x:c>
      <x:c r="H50" s="12" t="str">
        <x:v>Windows 개발 PC와 CI에서 profile별 기동·종료·route·메모리 측정으로 정상·오류·경계·부분 실패·재시도/복구·권한·감사·다중 인스턴스 영향까지 자동 Test와 최신 SHA Evidence로 검증한다.</x:v>
      </x:c>
      <x:c r="I50" s="12" t="str"/>
      <x:c r="J50" s="12" t="str">
        <x:v>WP01</x:v>
      </x:c>
      <x:c r="K50" s="12" t="str"/>
      <x:c r="L50" s="12" t="str">
        <x:v>WAS+MariaDB/Mock</x:v>
      </x:c>
    </x:row>
    <x:row r="51">
      <x:c r="A51" s="12" t="str">
        <x:v>CPF-QA-D03-LOCAL-010</x:v>
      </x:c>
      <x:c r="B51" s="12" t="str">
        <x:v>LOCAL</x:v>
      </x:c>
      <x:c r="C51" s="12" t="str">
        <x:v>WP02</x:v>
      </x:c>
      <x:c r="D51" s="12" t="str">
        <x:v>미구현</x:v>
      </x:c>
      <x:c r="E51" s="12" t="str">
        <x:v>P1</x:v>
      </x:c>
      <x:c r="F51" s="12" t="str">
        <x:v>Module enable/disable flags</x:v>
      </x:c>
      <x:c r="G51" s="12" t="str">
        <x:v>개발 전용 Runtime 구성으로 **Module enable/disable flags** 기능을 제품 계약·기본 구현·실제 Consumer·운영 기능까지 연결한다. 단순 Interface, 화면 Route, Sample 문자열만으로 완료 처리하지 않는다.</x:v>
      </x:c>
      <x:c r="H51" s="12" t="str">
        <x:v>Windows 개발 PC와 CI에서 profile별 기동·종료·route·메모리 측정으로 정상·오류·경계·부분 실패·재시도/복구·권한·감사·다중 인스턴스 영향까지 자동 Test와 최신 SHA Evidence로 검증한다.</x:v>
      </x:c>
      <x:c r="I51" s="12" t="str"/>
      <x:c r="J51" s="12" t="str">
        <x:v>WP01</x:v>
      </x:c>
      <x:c r="K51" s="12" t="str"/>
      <x:c r="L51" s="12" t="str">
        <x:v>WAS+MariaDB/Mock</x:v>
      </x:c>
    </x:row>
    <x:row r="52">
      <x:c r="A52" s="12" t="str">
        <x:v>CPF-QA-D03-LOCAL-011</x:v>
      </x:c>
      <x:c r="B52" s="12" t="str">
        <x:v>LOCAL</x:v>
      </x:c>
      <x:c r="C52" s="12" t="str">
        <x:v>WP02</x:v>
      </x:c>
      <x:c r="D52" s="12" t="str">
        <x:v>미구현</x:v>
      </x:c>
      <x:c r="E52" s="12" t="str">
        <x:v>P1</x:v>
      </x:c>
      <x:c r="F52" s="12" t="str">
        <x:v>Local Batch 별도 JVM Launcher</x:v>
      </x:c>
      <x:c r="G52" s="12" t="str">
        <x:v>개발 전용 Runtime 구성으로 **Local Batch 별도 JVM Launcher** 기능을 제품 계약·기본 구현·실제 Consumer·운영 기능까지 연결한다. 단순 Interface, 화면 Route, Sample 문자열만으로 완료 처리하지 않는다.</x:v>
      </x:c>
      <x:c r="H52" s="12" t="str">
        <x:v>Windows 개발 PC와 CI에서 profile별 기동·종료·route·메모리 측정으로 정상·오류·경계·부분 실패·재시도/복구·권한·감사·다중 인스턴스 영향까지 자동 Test와 최신 SHA Evidence로 검증한다.</x:v>
      </x:c>
      <x:c r="I52" s="12" t="str"/>
      <x:c r="J52" s="12" t="str">
        <x:v>WP01</x:v>
      </x:c>
      <x:c r="K52" s="12" t="str"/>
      <x:c r="L52" s="12" t="str">
        <x:v>WAS+MariaDB/Mock</x:v>
      </x:c>
    </x:row>
    <x:row r="53">
      <x:c r="A53" s="12" t="str">
        <x:v>CPF-QA-D03-LOCAL-012</x:v>
      </x:c>
      <x:c r="B53" s="12" t="str">
        <x:v>LOCAL</x:v>
      </x:c>
      <x:c r="C53" s="12" t="str">
        <x:v>WP02</x:v>
      </x:c>
      <x:c r="D53" s="12" t="str">
        <x:v>미구현</x:v>
      </x:c>
      <x:c r="E53" s="12" t="str">
        <x:v>P1</x:v>
      </x:c>
      <x:c r="F53" s="12" t="str">
        <x:v>Local Scheduler·Worker·Runner 선택 통합</x:v>
      </x:c>
      <x:c r="G53" s="12" t="str">
        <x:v>개발 전용 Runtime 구성으로 **Local Scheduler·Worker·Runner 선택 통합** 기능을 제품 계약·기본 구현·실제 Consumer·운영 기능까지 연결한다. 단순 Interface, 화면 Route, Sample 문자열만으로 완료 처리하지 않는다.</x:v>
      </x:c>
      <x:c r="H53" s="12" t="str">
        <x:v>Windows 개발 PC와 CI에서 profile별 기동·종료·route·메모리 측정으로 정상·오류·경계·부분 실패·재시도/복구·권한·감사·다중 인스턴스 영향까지 자동 Test와 최신 SHA Evidence로 검증한다.</x:v>
      </x:c>
      <x:c r="I53" s="12" t="str"/>
      <x:c r="J53" s="12" t="str">
        <x:v>WP01</x:v>
      </x:c>
      <x:c r="K53" s="12" t="str"/>
      <x:c r="L53" s="12" t="str">
        <x:v>WAS+MariaDB/Mock</x:v>
      </x:c>
    </x:row>
    <x:row r="54">
      <x:c r="A54" s="12" t="str">
        <x:v>CPF-QA-D03-LOCAL-013</x:v>
      </x:c>
      <x:c r="B54" s="12" t="str">
        <x:v>LOCAL</x:v>
      </x:c>
      <x:c r="C54" s="12" t="str">
        <x:v>WP02</x:v>
      </x:c>
      <x:c r="D54" s="12" t="str">
        <x:v>미구현</x:v>
      </x:c>
      <x:c r="E54" s="12" t="str">
        <x:v>P1</x:v>
      </x:c>
      <x:c r="F54" s="12" t="str">
        <x:v>Embedded Batch unit/debug 전용 mode</x:v>
      </x:c>
      <x:c r="G54" s="12" t="str">
        <x:v>개발 전용 Runtime 구성으로 **Embedded Batch unit/debug 전용 mode** 기능을 제품 계약·기본 구현·실제 Consumer·운영 기능까지 연결한다. 단순 Interface, 화면 Route, Sample 문자열만으로 완료 처리하지 않는다.</x:v>
      </x:c>
      <x:c r="H54" s="12" t="str">
        <x:v>Windows 개발 PC와 CI에서 profile별 기동·종료·route·메모리 측정으로 정상·오류·경계·부분 실패·재시도/복구·권한·감사·다중 인스턴스 영향까지 자동 Test와 최신 SHA Evidence로 검증한다.</x:v>
      </x:c>
      <x:c r="I54" s="12" t="str"/>
      <x:c r="J54" s="12" t="str">
        <x:v>WP01</x:v>
      </x:c>
      <x:c r="K54" s="12" t="str"/>
      <x:c r="L54" s="12" t="str">
        <x:v>WAS+MariaDB/Mock</x:v>
      </x:c>
    </x:row>
    <x:row r="55">
      <x:c r="A55" s="12" t="str">
        <x:v>CPF-QA-D03-LOCAL-014</x:v>
      </x:c>
      <x:c r="B55" s="12" t="str">
        <x:v>LOCAL</x:v>
      </x:c>
      <x:c r="C55" s="12" t="str">
        <x:v>WP02</x:v>
      </x:c>
      <x:c r="D55" s="12" t="str">
        <x:v>미구현</x:v>
      </x:c>
      <x:c r="E55" s="12" t="str">
        <x:v>P1</x:v>
      </x:c>
      <x:c r="F55" s="12" t="str">
        <x:v>Agent·Center-Cut·다중 Worker 선택 기동</x:v>
      </x:c>
      <x:c r="G55" s="12" t="str">
        <x:v>개발 전용 Runtime 구성으로 **Agent·Center-Cut·다중 Worker 선택 기동** 기능을 제품 계약·기본 구현·실제 Consumer·운영 기능까지 연결한다. 단순 Interface, 화면 Route, Sample 문자열만으로 완료 처리하지 않는다.</x:v>
      </x:c>
      <x:c r="H55" s="12" t="str">
        <x:v>Windows 개발 PC와 CI에서 profile별 기동·종료·route·메모리 측정으로 정상·오류·경계·부분 실패·재시도/복구·권한·감사·다중 인스턴스 영향까지 자동 Test와 최신 SHA Evidence로 검증한다.</x:v>
      </x:c>
      <x:c r="I55" s="12" t="str"/>
      <x:c r="J55" s="12" t="str">
        <x:v>WP01</x:v>
      </x:c>
      <x:c r="K55" s="12" t="str"/>
      <x:c r="L55" s="12" t="str">
        <x:v>WAS+MariaDB/Mock</x:v>
      </x:c>
    </x:row>
    <x:row r="56">
      <x:c r="A56" s="12" t="str">
        <x:v>CPF-QA-D03-LOCAL-015</x:v>
      </x:c>
      <x:c r="B56" s="12" t="str">
        <x:v>LOCAL</x:v>
      </x:c>
      <x:c r="C56" s="12" t="str">
        <x:v>WP02</x:v>
      </x:c>
      <x:c r="D56" s="12" t="str">
        <x:v>미구현</x:v>
      </x:c>
      <x:c r="E56" s="12" t="str">
        <x:v>P1</x:v>
      </x:c>
      <x:c r="F56" s="12" t="str">
        <x:v>TCP·gRPC 실제 Listener opt-in 추가 Port</x:v>
      </x:c>
      <x:c r="G56" s="12" t="str">
        <x:v>개발 전용 Runtime 구성으로 **TCP·gRPC 실제 Listener opt-in 추가 Port** 기능을 제품 계약·기본 구현·실제 Consumer·운영 기능까지 연결한다. 단순 Interface, 화면 Route, Sample 문자열만으로 완료 처리하지 않는다.</x:v>
      </x:c>
      <x:c r="H56" s="12" t="str">
        <x:v>Windows 개발 PC와 CI에서 profile별 기동·종료·route·메모리 측정으로 정상·오류·경계·부분 실패·재시도/복구·권한·감사·다중 인스턴스 영향까지 자동 Test와 최신 SHA Evidence로 검증한다.</x:v>
      </x:c>
      <x:c r="I56" s="12" t="str"/>
      <x:c r="J56" s="12" t="str">
        <x:v>WP01</x:v>
      </x:c>
      <x:c r="K56" s="12" t="str"/>
      <x:c r="L56" s="12" t="str">
        <x:v>WAS+MariaDB/Mock</x:v>
      </x:c>
    </x:row>
    <x:row r="57">
      <x:c r="A57" s="12" t="str">
        <x:v>CPF-QA-D03-LOCAL-016</x:v>
      </x:c>
      <x:c r="B57" s="12" t="str">
        <x:v>LOCAL</x:v>
      </x:c>
      <x:c r="C57" s="12" t="str">
        <x:v>WP02</x:v>
      </x:c>
      <x:c r="D57" s="12" t="str">
        <x:v>미구현</x:v>
      </x:c>
      <x:c r="E57" s="12" t="str">
        <x:v>P1</x:v>
      </x:c>
      <x:c r="F57" s="12" t="str">
        <x:v>Redis·Kafka 미설치 Fake/Simulator mode</x:v>
      </x:c>
      <x:c r="G57" s="12" t="str">
        <x:v>개발 전용 Runtime 구성으로 **Redis·Kafka 미설치 Fake/Simulator mode** 기능을 제품 계약·기본 구현·실제 Consumer·운영 기능까지 연결한다. 단순 Interface, 화면 Route, Sample 문자열만으로 완료 처리하지 않는다.</x:v>
      </x:c>
      <x:c r="H57" s="12" t="str">
        <x:v>Windows 개발 PC와 CI에서 profile별 기동·종료·route·메모리 측정으로 정상·오류·경계·부분 실패·재시도/복구·권한·감사·다중 인스턴스 영향까지 자동 Test와 최신 SHA Evidence로 검증한다.</x:v>
      </x:c>
      <x:c r="I57" s="12" t="str"/>
      <x:c r="J57" s="12" t="str">
        <x:v>WP01</x:v>
      </x:c>
      <x:c r="K57" s="12" t="str"/>
      <x:c r="L57" s="12" t="str">
        <x:v>WAS+MariaDB/Mock</x:v>
      </x:c>
    </x:row>
    <x:row r="58">
      <x:c r="A58" s="12" t="str">
        <x:v>CPF-QA-D03-LOCAL-017</x:v>
      </x:c>
      <x:c r="B58" s="12" t="str">
        <x:v>LOCAL</x:v>
      </x:c>
      <x:c r="C58" s="12" t="str">
        <x:v>WP02</x:v>
      </x:c>
      <x:c r="D58" s="12" t="str">
        <x:v>미구현</x:v>
      </x:c>
      <x:c r="E58" s="12" t="str">
        <x:v>P1</x:v>
      </x:c>
      <x:c r="F58" s="12" t="str">
        <x:v>MariaDB 단일 Instance Schema 분리 개발 mode</x:v>
      </x:c>
      <x:c r="G58" s="12" t="str">
        <x:v>개발 전용 Runtime 구성으로 **MariaDB 단일 Instance Schema 분리 개발 mode** 기능을 제품 계약·기본 구현·실제 Consumer·운영 기능까지 연결한다. 단순 Interface, 화면 Route, Sample 문자열만으로 완료 처리하지 않는다.</x:v>
      </x:c>
      <x:c r="H58" s="12" t="str">
        <x:v>Windows 개발 PC와 CI에서 profile별 기동·종료·route·메모리 측정으로 정상·오류·경계·부분 실패·재시도/복구·권한·감사·다중 인스턴스 영향까지 자동 Test와 최신 SHA Evidence로 검증한다.</x:v>
      </x:c>
      <x:c r="I58" s="12" t="str"/>
      <x:c r="J58" s="12" t="str">
        <x:v>WP01</x:v>
      </x:c>
      <x:c r="K58" s="12" t="str"/>
      <x:c r="L58" s="12" t="str">
        <x:v>WAS+MariaDB/Mock</x:v>
      </x:c>
    </x:row>
    <x:row r="59">
      <x:c r="A59" s="12" t="str">
        <x:v>CPF-QA-D03-LOCAL-018</x:v>
      </x:c>
      <x:c r="B59" s="12" t="str">
        <x:v>LOCAL</x:v>
      </x:c>
      <x:c r="C59" s="12" t="str">
        <x:v>WP02</x:v>
      </x:c>
      <x:c r="D59" s="12" t="str">
        <x:v>미구현</x:v>
      </x:c>
      <x:c r="E59" s="12" t="str">
        <x:v>P1</x:v>
      </x:c>
      <x:c r="F59" s="12" t="str">
        <x:v>저사양 PC 메모리 상한</x:v>
      </x:c>
      <x:c r="G59" s="12" t="str">
        <x:v>개발 전용 Runtime 구성으로 **저사양 PC 메모리 상한** 기능을 제품 계약·기본 구현·실제 Consumer·운영 기능까지 연결한다. 단순 Interface, 화면 Route, Sample 문자열만으로 완료 처리하지 않는다.</x:v>
      </x:c>
      <x:c r="H59" s="12" t="str">
        <x:v>Windows 개발 PC와 CI에서 profile별 기동·종료·route·메모리 측정으로 정상·오류·경계·부분 실패·재시도/복구·권한·감사·다중 인스턴스 영향까지 자동 Test와 최신 SHA Evidence로 검증한다.</x:v>
      </x:c>
      <x:c r="I59" s="12" t="str"/>
      <x:c r="J59" s="12" t="str">
        <x:v>WP01</x:v>
      </x:c>
      <x:c r="K59" s="12" t="str"/>
      <x:c r="L59" s="12" t="str">
        <x:v>WAS+MariaDB/Mock</x:v>
      </x:c>
    </x:row>
    <x:row r="60">
      <x:c r="A60" s="12" t="str">
        <x:v>CPF-QA-D03-LOCAL-019</x:v>
      </x:c>
      <x:c r="B60" s="12" t="str">
        <x:v>LOCAL</x:v>
      </x:c>
      <x:c r="C60" s="12" t="str">
        <x:v>WP02</x:v>
      </x:c>
      <x:c r="D60" s="12" t="str">
        <x:v>미구현</x:v>
      </x:c>
      <x:c r="E60" s="12" t="str">
        <x:v>P1</x:v>
      </x:c>
      <x:c r="F60" s="12" t="str">
        <x:v>기동시간·Hot Reload 개발 생산성</x:v>
      </x:c>
      <x:c r="G60" s="12" t="str">
        <x:v>개발 전용 Runtime 구성으로 **기동시간·Hot Reload 개발 생산성** 기능을 제품 계약·기본 구현·실제 Consumer·운영 기능까지 연결한다. 단순 Interface, 화면 Route, Sample 문자열만으로 완료 처리하지 않는다.</x:v>
      </x:c>
      <x:c r="H60" s="12" t="str">
        <x:v>Windows 개발 PC와 CI에서 profile별 기동·종료·route·메모리 측정으로 정상·오류·경계·부분 실패·재시도/복구·권한·감사·다중 인스턴스 영향까지 자동 Test와 최신 SHA Evidence로 검증한다.</x:v>
      </x:c>
      <x:c r="I60" s="12" t="str"/>
      <x:c r="J60" s="12" t="str">
        <x:v>WP01</x:v>
      </x:c>
      <x:c r="K60" s="12" t="str"/>
      <x:c r="L60" s="12" t="str">
        <x:v>WAS+MariaDB/Mock</x:v>
      </x:c>
    </x:row>
    <x:row r="61">
      <x:c r="A61" s="12" t="str">
        <x:v>CPF-QA-D03-LOCAL-020</x:v>
      </x:c>
      <x:c r="B61" s="12" t="str">
        <x:v>LOCAL</x:v>
      </x:c>
      <x:c r="C61" s="12" t="str">
        <x:v>WP02</x:v>
      </x:c>
      <x:c r="D61" s="12" t="str">
        <x:v>미구현</x:v>
      </x:c>
      <x:c r="E61" s="12" t="str">
        <x:v>P1</x:v>
      </x:c>
      <x:c r="F61" s="12" t="str">
        <x:v>Production topology 회귀 검증 연결</x:v>
      </x:c>
      <x:c r="G61" s="12" t="str">
        <x:v>개발 전용 Runtime 구성으로 **Production topology 회귀 검증 연결** 기능을 제품 계약·기본 구현·실제 Consumer·운영 기능까지 연결한다. 단순 Interface, 화면 Route, Sample 문자열만으로 완료 처리하지 않는다.</x:v>
      </x:c>
      <x:c r="H61" s="12" t="str">
        <x:v>Windows 개발 PC와 CI에서 profile별 기동·종료·route·메모리 측정으로 정상·오류·경계·부분 실패·재시도/복구·권한·감사·다중 인스턴스 영향까지 자동 Test와 최신 SHA Evidence로 검증한다.</x:v>
      </x:c>
      <x:c r="I61" s="12" t="str"/>
      <x:c r="J61" s="12" t="str">
        <x:v>WP01</x:v>
      </x:c>
      <x:c r="K61" s="12" t="str"/>
      <x:c r="L61" s="12" t="str">
        <x:v>WAS+MariaDB/Mock</x:v>
      </x:c>
    </x:row>
    <x:row r="62">
      <x:c r="A62" s="12" t="str">
        <x:v>CPF-QA-D03-LOCAL-021</x:v>
      </x:c>
      <x:c r="B62" s="12" t="str">
        <x:v>LOCAL</x:v>
      </x:c>
      <x:c r="C62" s="12" t="str">
        <x:v>WP02</x:v>
      </x:c>
      <x:c r="D62" s="12" t="str">
        <x:v>미구현</x:v>
      </x:c>
      <x:c r="E62" s="12" t="str">
        <x:v>P1</x:v>
      </x:c>
      <x:c r="F62" s="12" t="str">
        <x:v>Local profile의 Production 사용 차단</x:v>
      </x:c>
      <x:c r="G62" s="12" t="str">
        <x:v>개발 전용 Runtime 구성으로 **Local profile의 Production 사용 차단** 기능을 제품 계약·기본 구현·실제 Consumer·운영 기능까지 연결한다. 단순 Interface, 화면 Route, Sample 문자열만으로 완료 처리하지 않는다.</x:v>
      </x:c>
      <x:c r="H62" s="12" t="str">
        <x:v>Windows 개발 PC와 CI에서 profile별 기동·종료·route·메모리 측정으로 정상·오류·경계·부분 실패·재시도/복구·권한·감사·다중 인스턴스 영향까지 자동 Test와 최신 SHA Evidence로 검증한다.</x:v>
      </x:c>
      <x:c r="I62" s="12" t="str"/>
      <x:c r="J62" s="12" t="str">
        <x:v>WP01</x:v>
      </x:c>
      <x:c r="K62" s="12" t="str"/>
      <x:c r="L62" s="12" t="str">
        <x:v>WAS+MariaDB/Mock</x:v>
      </x:c>
    </x:row>
    <x:row r="63">
      <x:c r="A63" s="12" t="str">
        <x:v>CPF-QA-D03-BATDB-001</x:v>
      </x:c>
      <x:c r="B63" s="12" t="str">
        <x:v>BATDB</x:v>
      </x:c>
      <x:c r="C63" s="12" t="str">
        <x:v>WP03</x:v>
      </x:c>
      <x:c r="D63" s="12" t="str">
        <x:v>부분 구현</x:v>
      </x:c>
      <x:c r="E63" s="12" t="str">
        <x:v>P0</x:v>
      </x:c>
      <x:c r="F63" s="12" t="str">
        <x:v>Job Definition 정본과 Version</x:v>
      </x:c>
      <x:c r="G63" s="12" t="str">
        <x:v>batDB를 정본으로 하여 **Job Definition 정본과 Version** 기능을 제품 계약·기본 구현·실제 Consumer·운영 기능까지 연결한다. 단순 Interface, 화면 Route, Sample 문자열만으로 완료 처리하지 않는다.</x:v>
      </x:c>
      <x:c r="H63" s="12" t="str">
        <x:v>MariaDB 실제 DB와 공식 Vendor SQL parity, Repository/API/ADM 조회를 포함해 정상·오류·경계·부분 실패·재시도/복구·권한·감사·다중 인스턴스 영향까지 자동 Test와 최신 SHA Evidence로 검증한다.</x:v>
      </x:c>
      <x:c r="I63" s="12" t="str">
        <x:v>canonical schema + Spring Batch tables</x:v>
      </x:c>
      <x:c r="J63" s="12" t="str">
        <x:v>WP01</x:v>
      </x:c>
      <x:c r="K63" s="12" t="str"/>
      <x:c r="L63" s="12" t="str"/>
    </x:row>
    <x:row r="64">
      <x:c r="A64" s="12" t="str">
        <x:v>CPF-QA-D03-BATDB-002</x:v>
      </x:c>
      <x:c r="B64" s="12" t="str">
        <x:v>BATDB</x:v>
      </x:c>
      <x:c r="C64" s="12" t="str">
        <x:v>WP03</x:v>
      </x:c>
      <x:c r="D64" s="12" t="str">
        <x:v>부분 구현</x:v>
      </x:c>
      <x:c r="E64" s="12" t="str">
        <x:v>P0</x:v>
      </x:c>
      <x:c r="F64" s="12" t="str">
        <x:v>Job Type 일반·센터컷·온디맨드·스케줄 분류</x:v>
      </x:c>
      <x:c r="G64" s="12" t="str">
        <x:v>batDB를 정본으로 하여 **Job Type 일반·센터컷·온디맨드·스케줄 분류** 기능을 제품 계약·기본 구현·실제 Consumer·운영 기능까지 연결한다. 단순 Interface, 화면 Route, Sample 문자열만으로 완료 처리하지 않는다.</x:v>
      </x:c>
      <x:c r="H64" s="12" t="str">
        <x:v>MariaDB 실제 DB와 공식 Vendor SQL parity, Repository/API/ADM 조회를 포함해 정상·오류·경계·부분 실패·재시도/복구·권한·감사·다중 인스턴스 영향까지 자동 Test와 최신 SHA Evidence로 검증한다.</x:v>
      </x:c>
      <x:c r="I64" s="12" t="str">
        <x:v>canonical schema + Spring Batch tables</x:v>
      </x:c>
      <x:c r="J64" s="12" t="str">
        <x:v>WP01</x:v>
      </x:c>
      <x:c r="K64" s="12" t="str"/>
      <x:c r="L64" s="12" t="str"/>
    </x:row>
    <x:row r="65">
      <x:c r="A65" s="12" t="str">
        <x:v>CPF-QA-D03-BATDB-003</x:v>
      </x:c>
      <x:c r="B65" s="12" t="str">
        <x:v>BATDB</x:v>
      </x:c>
      <x:c r="C65" s="12" t="str">
        <x:v>WP03</x:v>
      </x:c>
      <x:c r="D65" s="12" t="str">
        <x:v>부분 구현</x:v>
      </x:c>
      <x:c r="E65" s="12" t="str">
        <x:v>P0</x:v>
      </x:c>
      <x:c r="F65" s="12" t="str">
        <x:v>Step Definition과 실행 순서</x:v>
      </x:c>
      <x:c r="G65" s="12" t="str">
        <x:v>batDB를 정본으로 하여 **Step Definition과 실행 순서** 기능을 제품 계약·기본 구현·실제 Consumer·운영 기능까지 연결한다. 단순 Interface, 화면 Route, Sample 문자열만으로 완료 처리하지 않는다.</x:v>
      </x:c>
      <x:c r="H65" s="12" t="str">
        <x:v>MariaDB 실제 DB와 공식 Vendor SQL parity, Repository/API/ADM 조회를 포함해 정상·오류·경계·부분 실패·재시도/복구·권한·감사·다중 인스턴스 영향까지 자동 Test와 최신 SHA Evidence로 검증한다.</x:v>
      </x:c>
      <x:c r="I65" s="12" t="str">
        <x:v>canonical schema + Spring Batch tables</x:v>
      </x:c>
      <x:c r="J65" s="12" t="str">
        <x:v>WP01</x:v>
      </x:c>
      <x:c r="K65" s="12" t="str"/>
      <x:c r="L65" s="12" t="str"/>
    </x:row>
    <x:row r="66">
      <x:c r="A66" s="12" t="str">
        <x:v>CPF-QA-D03-BATDB-004</x:v>
      </x:c>
      <x:c r="B66" s="12" t="str">
        <x:v>BATDB</x:v>
      </x:c>
      <x:c r="C66" s="12" t="str">
        <x:v>WP03</x:v>
      </x:c>
      <x:c r="D66" s="12" t="str">
        <x:v>부분 구현</x:v>
      </x:c>
      <x:c r="E66" s="12" t="str">
        <x:v>P0</x:v>
      </x:c>
      <x:c r="F66" s="12" t="str">
        <x:v>Handler Stable ID와 Source 구현 연결</x:v>
      </x:c>
      <x:c r="G66" s="12" t="str">
        <x:v>batDB를 정본으로 하여 **Handler Stable ID와 Source 구현 연결** 기능을 제품 계약·기본 구현·실제 Consumer·운영 기능까지 연결한다. 단순 Interface, 화면 Route, Sample 문자열만으로 완료 처리하지 않는다.</x:v>
      </x:c>
      <x:c r="H66" s="12" t="str">
        <x:v>MariaDB 실제 DB와 공식 Vendor SQL parity, Repository/API/ADM 조회를 포함해 정상·오류·경계·부분 실패·재시도/복구·권한·감사·다중 인스턴스 영향까지 자동 Test와 최신 SHA Evidence로 검증한다.</x:v>
      </x:c>
      <x:c r="I66" s="12" t="str">
        <x:v>canonical schema + Spring Batch tables</x:v>
      </x:c>
      <x:c r="J66" s="12" t="str">
        <x:v>WP01</x:v>
      </x:c>
      <x:c r="K66" s="12" t="str"/>
      <x:c r="L66" s="12" t="str"/>
    </x:row>
    <x:row r="67">
      <x:c r="A67" s="12" t="str">
        <x:v>CPF-QA-D03-BATDB-005</x:v>
      </x:c>
      <x:c r="B67" s="12" t="str">
        <x:v>BATDB</x:v>
      </x:c>
      <x:c r="C67" s="12" t="str">
        <x:v>WP03</x:v>
      </x:c>
      <x:c r="D67" s="12" t="str">
        <x:v>부분 구현</x:v>
      </x:c>
      <x:c r="E67" s="12" t="str">
        <x:v>P0</x:v>
      </x:c>
      <x:c r="F67" s="12" t="str">
        <x:v>Reader·Processor·Writer Metadata</x:v>
      </x:c>
      <x:c r="G67" s="12" t="str">
        <x:v>batDB를 정본으로 하여 **Reader·Processor·Writer Metadata** 기능을 제품 계약·기본 구현·실제 Consumer·운영 기능까지 연결한다. 단순 Interface, 화면 Route, Sample 문자열만으로 완료 처리하지 않는다.</x:v>
      </x:c>
      <x:c r="H67" s="12" t="str">
        <x:v>MariaDB 실제 DB와 공식 Vendor SQL parity, Repository/API/ADM 조회를 포함해 정상·오류·경계·부분 실패·재시도/복구·권한·감사·다중 인스턴스 영향까지 자동 Test와 최신 SHA Evidence로 검증한다.</x:v>
      </x:c>
      <x:c r="I67" s="12" t="str">
        <x:v>canonical schema + Spring Batch tables</x:v>
      </x:c>
      <x:c r="J67" s="12" t="str">
        <x:v>WP01</x:v>
      </x:c>
      <x:c r="K67" s="12" t="str"/>
      <x:c r="L67" s="12" t="str"/>
    </x:row>
    <x:row r="68">
      <x:c r="A68" s="12" t="str">
        <x:v>CPF-QA-D03-BATDB-006</x:v>
      </x:c>
      <x:c r="B68" s="12" t="str">
        <x:v>BATDB</x:v>
      </x:c>
      <x:c r="C68" s="12" t="str">
        <x:v>WP03</x:v>
      </x:c>
      <x:c r="D68" s="12" t="str">
        <x:v>부분 구현</x:v>
      </x:c>
      <x:c r="E68" s="12" t="str">
        <x:v>P0</x:v>
      </x:c>
      <x:c r="F68" s="12" t="str">
        <x:v>Job Parameter Schema·Validation·Masking</x:v>
      </x:c>
      <x:c r="G68" s="12" t="str">
        <x:v>batDB를 정본으로 하여 **Job Parameter Schema·Validation·Masking** 기능을 제품 계약·기본 구현·실제 Consumer·운영 기능까지 연결한다. 단순 Interface, 화면 Route, Sample 문자열만으로 완료 처리하지 않는다.</x:v>
      </x:c>
      <x:c r="H68" s="12" t="str">
        <x:v>MariaDB 실제 DB와 공식 Vendor SQL parity, Repository/API/ADM 조회를 포함해 정상·오류·경계·부분 실패·재시도/복구·권한·감사·다중 인스턴스 영향까지 자동 Test와 최신 SHA Evidence로 검증한다.</x:v>
      </x:c>
      <x:c r="I68" s="12" t="str">
        <x:v>canonical schema + Spring Batch tables</x:v>
      </x:c>
      <x:c r="J68" s="12" t="str">
        <x:v>WP01</x:v>
      </x:c>
      <x:c r="K68" s="12" t="str"/>
      <x:c r="L68" s="12" t="str"/>
    </x:row>
    <x:row r="69">
      <x:c r="A69" s="12" t="str">
        <x:v>CPF-QA-D03-BATDB-007</x:v>
      </x:c>
      <x:c r="B69" s="12" t="str">
        <x:v>BATDB</x:v>
      </x:c>
      <x:c r="C69" s="12" t="str">
        <x:v>WP03</x:v>
      </x:c>
      <x:c r="D69" s="12" t="str">
        <x:v>부분 구현</x:v>
      </x:c>
      <x:c r="E69" s="12" t="str">
        <x:v>P0</x:v>
      </x:c>
      <x:c r="F69" s="12" t="str">
        <x:v>Schedule·Cron·Calendar Metadata</x:v>
      </x:c>
      <x:c r="G69" s="12" t="str">
        <x:v>batDB를 정본으로 하여 **Schedule·Cron·Calendar Metadata** 기능을 제품 계약·기본 구현·실제 Consumer·운영 기능까지 연결한다. 단순 Interface, 화면 Route, Sample 문자열만으로 완료 처리하지 않는다.</x:v>
      </x:c>
      <x:c r="H69" s="12" t="str">
        <x:v>MariaDB 실제 DB와 공식 Vendor SQL parity, Repository/API/ADM 조회를 포함해 정상·오류·경계·부분 실패·재시도/복구·권한·감사·다중 인스턴스 영향까지 자동 Test와 최신 SHA Evidence로 검증한다.</x:v>
      </x:c>
      <x:c r="I69" s="12" t="str">
        <x:v>canonical schema + Spring Batch tables</x:v>
      </x:c>
      <x:c r="J69" s="12" t="str">
        <x:v>WP01</x:v>
      </x:c>
      <x:c r="K69" s="12" t="str"/>
      <x:c r="L69" s="12" t="str"/>
    </x:row>
    <x:row r="70">
      <x:c r="A70" s="12" t="str">
        <x:v>CPF-QA-D03-BATDB-008</x:v>
      </x:c>
      <x:c r="B70" s="12" t="str">
        <x:v>BATDB</x:v>
      </x:c>
      <x:c r="C70" s="12" t="str">
        <x:v>WP03</x:v>
      </x:c>
      <x:c r="D70" s="12" t="str">
        <x:v>부분 구현</x:v>
      </x:c>
      <x:c r="E70" s="12" t="str">
        <x:v>P0</x:v>
      </x:c>
      <x:c r="F70" s="12" t="str">
        <x:v>On-Demand 요청·승인 Metadata</x:v>
      </x:c>
      <x:c r="G70" s="12" t="str">
        <x:v>batDB를 정본으로 하여 **On-Demand 요청·승인 Metadata** 기능을 제품 계약·기본 구현·실제 Consumer·운영 기능까지 연결한다. 단순 Interface, 화면 Route, Sample 문자열만으로 완료 처리하지 않는다.</x:v>
      </x:c>
      <x:c r="H70" s="12" t="str">
        <x:v>MariaDB 실제 DB와 공식 Vendor SQL parity, Repository/API/ADM 조회를 포함해 정상·오류·경계·부분 실패·재시도/복구·권한·감사·다중 인스턴스 영향까지 자동 Test와 최신 SHA Evidence로 검증한다.</x:v>
      </x:c>
      <x:c r="I70" s="12" t="str">
        <x:v>canonical schema + Spring Batch tables</x:v>
      </x:c>
      <x:c r="J70" s="12" t="str">
        <x:v>WP01</x:v>
      </x:c>
      <x:c r="K70" s="12" t="str"/>
      <x:c r="L70" s="12" t="str"/>
    </x:row>
    <x:row r="71">
      <x:c r="A71" s="12" t="str">
        <x:v>CPF-QA-D03-BATDB-009</x:v>
      </x:c>
      <x:c r="B71" s="12" t="str">
        <x:v>BATDB</x:v>
      </x:c>
      <x:c r="C71" s="12" t="str">
        <x:v>WP03</x:v>
      </x:c>
      <x:c r="D71" s="12" t="str">
        <x:v>부분 구현</x:v>
      </x:c>
      <x:c r="E71" s="12" t="str">
        <x:v>P0</x:v>
      </x:c>
      <x:c r="F71" s="12" t="str">
        <x:v>File/Event Trigger Metadata</x:v>
      </x:c>
      <x:c r="G71" s="12" t="str">
        <x:v>batDB를 정본으로 하여 **File/Event Trigger Metadata** 기능을 제품 계약·기본 구현·실제 Consumer·운영 기능까지 연결한다. 단순 Interface, 화면 Route, Sample 문자열만으로 완료 처리하지 않는다.</x:v>
      </x:c>
      <x:c r="H71" s="12" t="str">
        <x:v>MariaDB 실제 DB와 공식 Vendor SQL parity, Repository/API/ADM 조회를 포함해 정상·오류·경계·부분 실패·재시도/복구·권한·감사·다중 인스턴스 영향까지 자동 Test와 최신 SHA Evidence로 검증한다.</x:v>
      </x:c>
      <x:c r="I71" s="12" t="str">
        <x:v>canonical schema + Spring Batch tables</x:v>
      </x:c>
      <x:c r="J71" s="12" t="str">
        <x:v>WP01</x:v>
      </x:c>
      <x:c r="K71" s="12" t="str"/>
      <x:c r="L71" s="12" t="str"/>
    </x:row>
    <x:row r="72">
      <x:c r="A72" s="12" t="str">
        <x:v>CPF-QA-D03-BATDB-010</x:v>
      </x:c>
      <x:c r="B72" s="12" t="str">
        <x:v>BATDB</x:v>
      </x:c>
      <x:c r="C72" s="12" t="str">
        <x:v>WP03</x:v>
      </x:c>
      <x:c r="D72" s="12" t="str">
        <x:v>부분 구현</x:v>
      </x:c>
      <x:c r="E72" s="12" t="str">
        <x:v>P0</x:v>
      </x:c>
      <x:c r="F72" s="12" t="str">
        <x:v>Job Instance·Execution·Status</x:v>
      </x:c>
      <x:c r="G72" s="12" t="str">
        <x:v>batDB를 정본으로 하여 **Job Instance·Execution·Status** 기능을 제품 계약·기본 구현·실제 Consumer·운영 기능까지 연결한다. 단순 Interface, 화면 Route, Sample 문자열만으로 완료 처리하지 않는다.</x:v>
      </x:c>
      <x:c r="H72" s="12" t="str">
        <x:v>MariaDB 실제 DB와 공식 Vendor SQL parity, Repository/API/ADM 조회를 포함해 정상·오류·경계·부분 실패·재시도/복구·권한·감사·다중 인스턴스 영향까지 자동 Test와 최신 SHA Evidence로 검증한다.</x:v>
      </x:c>
      <x:c r="I72" s="12" t="str">
        <x:v>canonical schema + Spring Batch tables</x:v>
      </x:c>
      <x:c r="J72" s="12" t="str">
        <x:v>WP01</x:v>
      </x:c>
      <x:c r="K72" s="12" t="str"/>
      <x:c r="L72" s="12" t="str"/>
    </x:row>
    <x:row r="73">
      <x:c r="A73" s="12" t="str">
        <x:v>CPF-QA-D03-BATDB-011</x:v>
      </x:c>
      <x:c r="B73" s="12" t="str">
        <x:v>BATDB</x:v>
      </x:c>
      <x:c r="C73" s="12" t="str">
        <x:v>WP03</x:v>
      </x:c>
      <x:c r="D73" s="12" t="str">
        <x:v>부분 구현</x:v>
      </x:c>
      <x:c r="E73" s="12" t="str">
        <x:v>P0</x:v>
      </x:c>
      <x:c r="F73" s="12" t="str">
        <x:v>Step Execution·처리 건수</x:v>
      </x:c>
      <x:c r="G73" s="12" t="str">
        <x:v>batDB를 정본으로 하여 **Step Execution·처리 건수** 기능을 제품 계약·기본 구현·실제 Consumer·운영 기능까지 연결한다. 단순 Interface, 화면 Route, Sample 문자열만으로 완료 처리하지 않는다.</x:v>
      </x:c>
      <x:c r="H73" s="12" t="str">
        <x:v>MariaDB 실제 DB와 공식 Vendor SQL parity, Repository/API/ADM 조회를 포함해 정상·오류·경계·부분 실패·재시도/복구·권한·감사·다중 인스턴스 영향까지 자동 Test와 최신 SHA Evidence로 검증한다.</x:v>
      </x:c>
      <x:c r="I73" s="12" t="str">
        <x:v>canonical schema + Spring Batch tables</x:v>
      </x:c>
      <x:c r="J73" s="12" t="str">
        <x:v>WP01</x:v>
      </x:c>
      <x:c r="K73" s="12" t="str"/>
      <x:c r="L73" s="12" t="str"/>
    </x:row>
    <x:row r="74">
      <x:c r="A74" s="12" t="str">
        <x:v>CPF-QA-D03-BATDB-012</x:v>
      </x:c>
      <x:c r="B74" s="12" t="str">
        <x:v>BATDB</x:v>
      </x:c>
      <x:c r="C74" s="12" t="str">
        <x:v>WP03</x:v>
      </x:c>
      <x:c r="D74" s="12" t="str">
        <x:v>부분 구현</x:v>
      </x:c>
      <x:c r="E74" s="12" t="str">
        <x:v>P0</x:v>
      </x:c>
      <x:c r="F74" s="12" t="str">
        <x:v>Chunk·Checkpoint·재시작 위치</x:v>
      </x:c>
      <x:c r="G74" s="12" t="str">
        <x:v>batDB를 정본으로 하여 **Chunk·Checkpoint·재시작 위치** 기능을 제품 계약·기본 구현·실제 Consumer·운영 기능까지 연결한다. 단순 Interface, 화면 Route, Sample 문자열만으로 완료 처리하지 않는다.</x:v>
      </x:c>
      <x:c r="H74" s="12" t="str">
        <x:v>MariaDB 실제 DB와 공식 Vendor SQL parity, Repository/API/ADM 조회를 포함해 정상·오류·경계·부분 실패·재시도/복구·권한·감사·다중 인스턴스 영향까지 자동 Test와 최신 SHA Evidence로 검증한다.</x:v>
      </x:c>
      <x:c r="I74" s="12" t="str">
        <x:v>canonical schema + Spring Batch tables</x:v>
      </x:c>
      <x:c r="J74" s="12" t="str">
        <x:v>WP01</x:v>
      </x:c>
      <x:c r="K74" s="12" t="str"/>
      <x:c r="L74" s="12" t="str"/>
    </x:row>
    <x:row r="75">
      <x:c r="A75" s="12" t="str">
        <x:v>CPF-QA-D03-BATDB-013</x:v>
      </x:c>
      <x:c r="B75" s="12" t="str">
        <x:v>BATDB</x:v>
      </x:c>
      <x:c r="C75" s="12" t="str">
        <x:v>WP03</x:v>
      </x:c>
      <x:c r="D75" s="12" t="str">
        <x:v>부분 구현</x:v>
      </x:c>
      <x:c r="E75" s="12" t="str">
        <x:v>P0</x:v>
      </x:c>
      <x:c r="F75" s="12" t="str">
        <x:v>Skip·Retry·오류 건 저장</x:v>
      </x:c>
      <x:c r="G75" s="12" t="str">
        <x:v>batDB를 정본으로 하여 **Skip·Retry·오류 건 저장** 기능을 제품 계약·기본 구현·실제 Consumer·운영 기능까지 연결한다. 단순 Interface, 화면 Route, Sample 문자열만으로 완료 처리하지 않는다.</x:v>
      </x:c>
      <x:c r="H75" s="12" t="str">
        <x:v>MariaDB 실제 DB와 공식 Vendor SQL parity, Repository/API/ADM 조회를 포함해 정상·오류·경계·부분 실패·재시도/복구·권한·감사·다중 인스턴스 영향까지 자동 Test와 최신 SHA Evidence로 검증한다.</x:v>
      </x:c>
      <x:c r="I75" s="12" t="str">
        <x:v>canonical schema + Spring Batch tables</x:v>
      </x:c>
      <x:c r="J75" s="12" t="str">
        <x:v>WP01</x:v>
      </x:c>
      <x:c r="K75" s="12" t="str"/>
      <x:c r="L75" s="12" t="str"/>
    </x:row>
    <x:row r="76">
      <x:c r="A76" s="12" t="str">
        <x:v>CPF-QA-D03-BATDB-014</x:v>
      </x:c>
      <x:c r="B76" s="12" t="str">
        <x:v>BATDB</x:v>
      </x:c>
      <x:c r="C76" s="12" t="str">
        <x:v>WP03</x:v>
      </x:c>
      <x:c r="D76" s="12" t="str">
        <x:v>부분 구현</x:v>
      </x:c>
      <x:c r="E76" s="12" t="str">
        <x:v>P0</x:v>
      </x:c>
      <x:c r="F76" s="12" t="str">
        <x:v>재처리 대상·범위·상태</x:v>
      </x:c>
      <x:c r="G76" s="12" t="str">
        <x:v>batDB를 정본으로 하여 **재처리 대상·범위·상태** 기능을 제품 계약·기본 구현·실제 Consumer·운영 기능까지 연결한다. 단순 Interface, 화면 Route, Sample 문자열만으로 완료 처리하지 않는다.</x:v>
      </x:c>
      <x:c r="H76" s="12" t="str">
        <x:v>MariaDB 실제 DB와 공식 Vendor SQL parity, Repository/API/ADM 조회를 포함해 정상·오류·경계·부분 실패·재시도/복구·권한·감사·다중 인스턴스 영향까지 자동 Test와 최신 SHA Evidence로 검증한다.</x:v>
      </x:c>
      <x:c r="I76" s="12" t="str">
        <x:v>canonical schema + Spring Batch tables</x:v>
      </x:c>
      <x:c r="J76" s="12" t="str">
        <x:v>WP01</x:v>
      </x:c>
      <x:c r="K76" s="12" t="str"/>
      <x:c r="L76" s="12" t="str"/>
    </x:row>
    <x:row r="77">
      <x:c r="A77" s="12" t="str">
        <x:v>CPF-QA-D03-BATDB-015</x:v>
      </x:c>
      <x:c r="B77" s="12" t="str">
        <x:v>BATDB</x:v>
      </x:c>
      <x:c r="C77" s="12" t="str">
        <x:v>WP03</x:v>
      </x:c>
      <x:c r="D77" s="12" t="str">
        <x:v>부분 구현</x:v>
      </x:c>
      <x:c r="E77" s="12" t="str">
        <x:v>P0</x:v>
      </x:c>
      <x:c r="F77" s="12" t="str">
        <x:v>Partition·Worker 할당</x:v>
      </x:c>
      <x:c r="G77" s="12" t="str">
        <x:v>batDB를 정본으로 하여 **Partition·Worker 할당** 기능을 제품 계약·기본 구현·실제 Consumer·운영 기능까지 연결한다. 단순 Interface, 화면 Route, Sample 문자열만으로 완료 처리하지 않는다.</x:v>
      </x:c>
      <x:c r="H77" s="12" t="str">
        <x:v>MariaDB 실제 DB와 공식 Vendor SQL parity, Repository/API/ADM 조회를 포함해 정상·오류·경계·부분 실패·재시도/복구·권한·감사·다중 인스턴스 영향까지 자동 Test와 최신 SHA Evidence로 검증한다.</x:v>
      </x:c>
      <x:c r="I77" s="12" t="str">
        <x:v>canonical schema + Spring Batch tables</x:v>
      </x:c>
      <x:c r="J77" s="12" t="str">
        <x:v>WP01</x:v>
      </x:c>
      <x:c r="K77" s="12" t="str"/>
      <x:c r="L77" s="12" t="str"/>
    </x:row>
    <x:row r="78">
      <x:c r="A78" s="12" t="str">
        <x:v>CPF-QA-D03-BATDB-016</x:v>
      </x:c>
      <x:c r="B78" s="12" t="str">
        <x:v>BATDB</x:v>
      </x:c>
      <x:c r="C78" s="12" t="str">
        <x:v>WP03</x:v>
      </x:c>
      <x:c r="D78" s="12" t="str">
        <x:v>부분 구현</x:v>
      </x:c>
      <x:c r="E78" s="12" t="str">
        <x:v>P0</x:v>
      </x:c>
      <x:c r="F78" s="12" t="str">
        <x:v>Worker Heartbeat·Lease·Fencing</x:v>
      </x:c>
      <x:c r="G78" s="12" t="str">
        <x:v>batDB를 정본으로 하여 **Worker Heartbeat·Lease·Fencing** 기능을 제품 계약·기본 구현·실제 Consumer·운영 기능까지 연결한다. 단순 Interface, 화면 Route, Sample 문자열만으로 완료 처리하지 않는다.</x:v>
      </x:c>
      <x:c r="H78" s="12" t="str">
        <x:v>MariaDB 실제 DB와 공식 Vendor SQL parity, Repository/API/ADM 조회를 포함해 정상·오류·경계·부분 실패·재시도/복구·권한·감사·다중 인스턴스 영향까지 자동 Test와 최신 SHA Evidence로 검증한다.</x:v>
      </x:c>
      <x:c r="I78" s="12" t="str">
        <x:v>canonical schema + Spring Batch tables</x:v>
      </x:c>
      <x:c r="J78" s="12" t="str">
        <x:v>WP01</x:v>
      </x:c>
      <x:c r="K78" s="12" t="str"/>
      <x:c r="L78" s="12" t="str"/>
    </x:row>
    <x:row r="79">
      <x:c r="A79" s="12" t="str">
        <x:v>CPF-QA-D03-BATDB-017</x:v>
      </x:c>
      <x:c r="B79" s="12" t="str">
        <x:v>BATDB</x:v>
      </x:c>
      <x:c r="C79" s="12" t="str">
        <x:v>WP03</x:v>
      </x:c>
      <x:c r="D79" s="12" t="str">
        <x:v>부분 구현</x:v>
      </x:c>
      <x:c r="E79" s="12" t="str">
        <x:v>P0</x:v>
      </x:c>
      <x:c r="F79" s="12" t="str">
        <x:v>중복 실행 방지 Lock</x:v>
      </x:c>
      <x:c r="G79" s="12" t="str">
        <x:v>batDB를 정본으로 하여 **중복 실행 방지 Lock** 기능을 제품 계약·기본 구현·실제 Consumer·운영 기능까지 연결한다. 단순 Interface, 화면 Route, Sample 문자열만으로 완료 처리하지 않는다.</x:v>
      </x:c>
      <x:c r="H79" s="12" t="str">
        <x:v>MariaDB 실제 DB와 공식 Vendor SQL parity, Repository/API/ADM 조회를 포함해 정상·오류·경계·부분 실패·재시도/복구·권한·감사·다중 인스턴스 영향까지 자동 Test와 최신 SHA Evidence로 검증한다.</x:v>
      </x:c>
      <x:c r="I79" s="12" t="str">
        <x:v>canonical schema + Spring Batch tables</x:v>
      </x:c>
      <x:c r="J79" s="12" t="str">
        <x:v>WP01</x:v>
      </x:c>
      <x:c r="K79" s="12" t="str"/>
      <x:c r="L79" s="12" t="str"/>
    </x:row>
    <x:row r="80">
      <x:c r="A80" s="12" t="str">
        <x:v>CPF-QA-D03-BATDB-018</x:v>
      </x:c>
      <x:c r="B80" s="12" t="str">
        <x:v>BATDB</x:v>
      </x:c>
      <x:c r="C80" s="12" t="str">
        <x:v>WP03</x:v>
      </x:c>
      <x:c r="D80" s="12" t="str">
        <x:v>부분 구현</x:v>
      </x:c>
      <x:c r="E80" s="12" t="str">
        <x:v>P0</x:v>
      </x:c>
      <x:c r="F80" s="12" t="str">
        <x:v>강제 잠금·만료·해제 이력</x:v>
      </x:c>
      <x:c r="G80" s="12" t="str">
        <x:v>batDB를 정본으로 하여 **강제 잠금·만료·해제 이력** 기능을 제품 계약·기본 구현·실제 Consumer·운영 기능까지 연결한다. 단순 Interface, 화면 Route, Sample 문자열만으로 완료 처리하지 않는다.</x:v>
      </x:c>
      <x:c r="H80" s="12" t="str">
        <x:v>MariaDB 실제 DB와 공식 Vendor SQL parity, Repository/API/ADM 조회를 포함해 정상·오류·경계·부분 실패·재시도/복구·권한·감사·다중 인스턴스 영향까지 자동 Test와 최신 SHA Evidence로 검증한다.</x:v>
      </x:c>
      <x:c r="I80" s="12" t="str">
        <x:v>canonical schema + Spring Batch tables</x:v>
      </x:c>
      <x:c r="J80" s="12" t="str">
        <x:v>WP01</x:v>
      </x:c>
      <x:c r="K80" s="12" t="str"/>
      <x:c r="L80" s="12" t="str"/>
    </x:row>
    <x:row r="81">
      <x:c r="A81" s="12" t="str">
        <x:v>CPF-QA-D03-BATDB-019</x:v>
      </x:c>
      <x:c r="B81" s="12" t="str">
        <x:v>BATDB</x:v>
      </x:c>
      <x:c r="C81" s="12" t="str">
        <x:v>WP03</x:v>
      </x:c>
      <x:c r="D81" s="12" t="str">
        <x:v>부분 구현</x:v>
      </x:c>
      <x:c r="E81" s="12" t="str">
        <x:v>P0</x:v>
      </x:c>
      <x:c r="F81" s="12" t="str">
        <x:v>Ghost Execution 판정 Metadata</x:v>
      </x:c>
      <x:c r="G81" s="12" t="str">
        <x:v>batDB를 정본으로 하여 **Ghost Execution 판정 Metadata** 기능을 제품 계약·기본 구현·실제 Consumer·운영 기능까지 연결한다. 단순 Interface, 화면 Route, Sample 문자열만으로 완료 처리하지 않는다.</x:v>
      </x:c>
      <x:c r="H81" s="12" t="str">
        <x:v>MariaDB 실제 DB와 공식 Vendor SQL parity, Repository/API/ADM 조회를 포함해 정상·오류·경계·부분 실패·재시도/복구·권한·감사·다중 인스턴스 영향까지 자동 Test와 최신 SHA Evidence로 검증한다.</x:v>
      </x:c>
      <x:c r="I81" s="12" t="str">
        <x:v>canonical schema + Spring Batch tables</x:v>
      </x:c>
      <x:c r="J81" s="12" t="str">
        <x:v>WP01</x:v>
      </x:c>
      <x:c r="K81" s="12" t="str"/>
      <x:c r="L81" s="12" t="str"/>
    </x:row>
    <x:row r="82">
      <x:c r="A82" s="12" t="str">
        <x:v>CPF-QA-D03-BATDB-020</x:v>
      </x:c>
      <x:c r="B82" s="12" t="str">
        <x:v>BATDB</x:v>
      </x:c>
      <x:c r="C82" s="12" t="str">
        <x:v>WP03</x:v>
      </x:c>
      <x:c r="D82" s="12" t="str">
        <x:v>부분 구현</x:v>
      </x:c>
      <x:c r="E82" s="12" t="str">
        <x:v>P0</x:v>
      </x:c>
      <x:c r="F82" s="12" t="str">
        <x:v>Center-Cut 대상·분할·배정 Metadata</x:v>
      </x:c>
      <x:c r="G82" s="12" t="str">
        <x:v>batDB를 정본으로 하여 **Center-Cut 대상·분할·배정 Metadata** 기능을 제품 계약·기본 구현·실제 Consumer·운영 기능까지 연결한다. 단순 Interface, 화면 Route, Sample 문자열만으로 완료 처리하지 않는다.</x:v>
      </x:c>
      <x:c r="H82" s="12" t="str">
        <x:v>MariaDB 실제 DB와 공식 Vendor SQL parity, Repository/API/ADM 조회를 포함해 정상·오류·경계·부분 실패·재시도/복구·권한·감사·다중 인스턴스 영향까지 자동 Test와 최신 SHA Evidence로 검증한다.</x:v>
      </x:c>
      <x:c r="I82" s="12" t="str">
        <x:v>canonical schema + Spring Batch tables</x:v>
      </x:c>
      <x:c r="J82" s="12" t="str">
        <x:v>WP01</x:v>
      </x:c>
      <x:c r="K82" s="12" t="str"/>
      <x:c r="L82" s="12" t="str"/>
    </x:row>
    <x:row r="83">
      <x:c r="A83" s="12" t="str">
        <x:v>CPF-QA-D03-BATDB-021</x:v>
      </x:c>
      <x:c r="B83" s="12" t="str">
        <x:v>BATDB</x:v>
      </x:c>
      <x:c r="C83" s="12" t="str">
        <x:v>WP03</x:v>
      </x:c>
      <x:c r="D83" s="12" t="str">
        <x:v>부분 구현</x:v>
      </x:c>
      <x:c r="E83" s="12" t="str">
        <x:v>P0</x:v>
      </x:c>
      <x:c r="F83" s="12" t="str">
        <x:v>실행 우선순위·동시성 정책</x:v>
      </x:c>
      <x:c r="G83" s="12" t="str">
        <x:v>batDB를 정본으로 하여 **실행 우선순위·동시성 정책** 기능을 제품 계약·기본 구현·실제 Consumer·운영 기능까지 연결한다. 단순 Interface, 화면 Route, Sample 문자열만으로 완료 처리하지 않는다.</x:v>
      </x:c>
      <x:c r="H83" s="12" t="str">
        <x:v>MariaDB 실제 DB와 공식 Vendor SQL parity, Repository/API/ADM 조회를 포함해 정상·오류·경계·부분 실패·재시도/복구·권한·감사·다중 인스턴스 영향까지 자동 Test와 최신 SHA Evidence로 검증한다.</x:v>
      </x:c>
      <x:c r="I83" s="12" t="str">
        <x:v>canonical schema + Spring Batch tables</x:v>
      </x:c>
      <x:c r="J83" s="12" t="str">
        <x:v>WP01</x:v>
      </x:c>
      <x:c r="K83" s="12" t="str"/>
      <x:c r="L83" s="12" t="str"/>
    </x:row>
    <x:row r="84">
      <x:c r="A84" s="12" t="str">
        <x:v>CPF-QA-D03-BATDB-022</x:v>
      </x:c>
      <x:c r="B84" s="12" t="str">
        <x:v>BATDB</x:v>
      </x:c>
      <x:c r="C84" s="12" t="str">
        <x:v>WP03</x:v>
      </x:c>
      <x:c r="D84" s="12" t="str">
        <x:v>부분 구현</x:v>
      </x:c>
      <x:c r="E84" s="12" t="str">
        <x:v>P0</x:v>
      </x:c>
      <x:c r="F84" s="12" t="str">
        <x:v>정지·재개·취소·강제종료 이력</x:v>
      </x:c>
      <x:c r="G84" s="12" t="str">
        <x:v>batDB를 정본으로 하여 **정지·재개·취소·강제종료 이력** 기능을 제품 계약·기본 구현·실제 Consumer·운영 기능까지 연결한다. 단순 Interface, 화면 Route, Sample 문자열만으로 완료 처리하지 않는다.</x:v>
      </x:c>
      <x:c r="H84" s="12" t="str">
        <x:v>MariaDB 실제 DB와 공식 Vendor SQL parity, Repository/API/ADM 조회를 포함해 정상·오류·경계·부분 실패·재시도/복구·권한·감사·다중 인스턴스 영향까지 자동 Test와 최신 SHA Evidence로 검증한다.</x:v>
      </x:c>
      <x:c r="I84" s="12" t="str">
        <x:v>canonical schema + Spring Batch tables</x:v>
      </x:c>
      <x:c r="J84" s="12" t="str">
        <x:v>WP01</x:v>
      </x:c>
      <x:c r="K84" s="12" t="str"/>
      <x:c r="L84" s="12" t="str"/>
    </x:row>
    <x:row r="85">
      <x:c r="A85" s="12" t="str">
        <x:v>CPF-QA-D03-BATDB-023</x:v>
      </x:c>
      <x:c r="B85" s="12" t="str">
        <x:v>BATDB</x:v>
      </x:c>
      <x:c r="C85" s="12" t="str">
        <x:v>WP03</x:v>
      </x:c>
      <x:c r="D85" s="12" t="str">
        <x:v>부분 구현</x:v>
      </x:c>
      <x:c r="E85" s="12" t="str">
        <x:v>P0</x:v>
      </x:c>
      <x:c r="F85" s="12" t="str">
        <x:v>운영 승인·사유·명령자 감사</x:v>
      </x:c>
      <x:c r="G85" s="12" t="str">
        <x:v>batDB를 정본으로 하여 **운영 승인·사유·명령자 감사** 기능을 제품 계약·기본 구현·실제 Consumer·운영 기능까지 연결한다. 단순 Interface, 화면 Route, Sample 문자열만으로 완료 처리하지 않는다.</x:v>
      </x:c>
      <x:c r="H85" s="12" t="str">
        <x:v>MariaDB 실제 DB와 공식 Vendor SQL parity, Repository/API/ADM 조회를 포함해 정상·오류·경계·부분 실패·재시도/복구·권한·감사·다중 인스턴스 영향까지 자동 Test와 최신 SHA Evidence로 검증한다.</x:v>
      </x:c>
      <x:c r="I85" s="12" t="str">
        <x:v>canonical schema + Spring Batch tables</x:v>
      </x:c>
      <x:c r="J85" s="12" t="str">
        <x:v>WP01</x:v>
      </x:c>
      <x:c r="K85" s="12" t="str"/>
      <x:c r="L85" s="12" t="str"/>
    </x:row>
    <x:row r="86">
      <x:c r="A86" s="12" t="str">
        <x:v>CPF-QA-D03-BATDB-024</x:v>
      </x:c>
      <x:c r="B86" s="12" t="str">
        <x:v>BATDB</x:v>
      </x:c>
      <x:c r="C86" s="12" t="str">
        <x:v>WP03</x:v>
      </x:c>
      <x:c r="D86" s="12" t="str">
        <x:v>부분 구현</x:v>
      </x:c>
      <x:c r="E86" s="12" t="str">
        <x:v>P0</x:v>
      </x:c>
      <x:c r="F86" s="12" t="str">
        <x:v>실행 결과 Unknown·Recovery 상태</x:v>
      </x:c>
      <x:c r="G86" s="12" t="str">
        <x:v>batDB를 정본으로 하여 **실행 결과 Unknown·Recovery 상태** 기능을 제품 계약·기본 구현·실제 Consumer·운영 기능까지 연결한다. 단순 Interface, 화면 Route, Sample 문자열만으로 완료 처리하지 않는다.</x:v>
      </x:c>
      <x:c r="H86" s="12" t="str">
        <x:v>MariaDB 실제 DB와 공식 Vendor SQL parity, Repository/API/ADM 조회를 포함해 정상·오류·경계·부분 실패·재시도/복구·권한·감사·다중 인스턴스 영향까지 자동 Test와 최신 SHA Evidence로 검증한다.</x:v>
      </x:c>
      <x:c r="I86" s="12" t="str">
        <x:v>canonical schema + Spring Batch tables</x:v>
      </x:c>
      <x:c r="J86" s="12" t="str">
        <x:v>WP01</x:v>
      </x:c>
      <x:c r="K86" s="12" t="str"/>
      <x:c r="L86" s="12" t="str"/>
    </x:row>
    <x:row r="87">
      <x:c r="A87" s="12" t="str">
        <x:v>CPF-QA-D03-BATDB-025</x:v>
      </x:c>
      <x:c r="B87" s="12" t="str">
        <x:v>BATDB</x:v>
      </x:c>
      <x:c r="C87" s="12" t="str">
        <x:v>WP03</x:v>
      </x:c>
      <x:c r="D87" s="12" t="str">
        <x:v>부분 구현</x:v>
      </x:c>
      <x:c r="E87" s="12" t="str">
        <x:v>P0</x:v>
      </x:c>
      <x:c r="F87" s="12" t="str">
        <x:v>보관·Archive·Cleanup 정책</x:v>
      </x:c>
      <x:c r="G87" s="12" t="str">
        <x:v>batDB를 정본으로 하여 **보관·Archive·Cleanup 정책** 기능을 제품 계약·기본 구현·실제 Consumer·운영 기능까지 연결한다. 단순 Interface, 화면 Route, Sample 문자열만으로 완료 처리하지 않는다.</x:v>
      </x:c>
      <x:c r="H87" s="12" t="str">
        <x:v>MariaDB 실제 DB와 공식 Vendor SQL parity, Repository/API/ADM 조회를 포함해 정상·오류·경계·부분 실패·재시도/복구·권한·감사·다중 인스턴스 영향까지 자동 Test와 최신 SHA Evidence로 검증한다.</x:v>
      </x:c>
      <x:c r="I87" s="12" t="str">
        <x:v>canonical schema + Spring Batch tables</x:v>
      </x:c>
      <x:c r="J87" s="12" t="str">
        <x:v>WP01</x:v>
      </x:c>
      <x:c r="K87" s="12" t="str"/>
      <x:c r="L87" s="12" t="str"/>
    </x:row>
    <x:row r="88">
      <x:c r="A88" s="12" t="str">
        <x:v>CPF-QA-D03-BATDB-026</x:v>
      </x:c>
      <x:c r="B88" s="12" t="str">
        <x:v>BATDB</x:v>
      </x:c>
      <x:c r="C88" s="12" t="str">
        <x:v>WP03</x:v>
      </x:c>
      <x:c r="D88" s="12" t="str">
        <x:v>부분 구현</x:v>
      </x:c>
      <x:c r="E88" s="12" t="str">
        <x:v>P0</x:v>
      </x:c>
      <x:c r="F88" s="12" t="str">
        <x:v>DB Job Metadata와 Spring Batch 표준 테이블 정합성</x:v>
      </x:c>
      <x:c r="G88" s="12" t="str">
        <x:v>batDB를 정본으로 하여 **DB Job Metadata와 Spring Batch 표준 테이블 정합성** 기능을 제품 계약·기본 구현·실제 Consumer·운영 기능까지 연결한다. 단순 Interface, 화면 Route, Sample 문자열만으로 완료 처리하지 않는다.</x:v>
      </x:c>
      <x:c r="H88" s="12" t="str">
        <x:v>MariaDB 실제 DB와 공식 Vendor SQL parity, Repository/API/ADM 조회를 포함해 정상·오류·경계·부분 실패·재시도/복구·권한·감사·다중 인스턴스 영향까지 자동 Test와 최신 SHA Evidence로 검증한다.</x:v>
      </x:c>
      <x:c r="I88" s="12" t="str">
        <x:v>canonical schema + Spring Batch tables</x:v>
      </x:c>
      <x:c r="J88" s="12" t="str">
        <x:v>WP01</x:v>
      </x:c>
      <x:c r="K88" s="12" t="str"/>
      <x:c r="L88" s="12" t="str"/>
    </x:row>
    <x:row r="89">
      <x:c r="A89" s="12" t="str">
        <x:v>CPF-QA-D03-BATDB-027</x:v>
      </x:c>
      <x:c r="B89" s="12" t="str">
        <x:v>BATDB</x:v>
      </x:c>
      <x:c r="C89" s="12" t="str">
        <x:v>WP03</x:v>
      </x:c>
      <x:c r="D89" s="12" t="str">
        <x:v>부분 구현</x:v>
      </x:c>
      <x:c r="E89" s="12" t="str">
        <x:v>P0</x:v>
      </x:c>
      <x:c r="F89" s="12" t="str">
        <x:v>batDB Migration·Upgrade·Rollback</x:v>
      </x:c>
      <x:c r="G89" s="12" t="str">
        <x:v>batDB를 정본으로 하여 **batDB Migration·Upgrade·Rollback** 기능을 제품 계약·기본 구현·실제 Consumer·운영 기능까지 연결한다. 단순 Interface, 화면 Route, Sample 문자열만으로 완료 처리하지 않는다.</x:v>
      </x:c>
      <x:c r="H89" s="12" t="str">
        <x:v>MariaDB 실제 DB와 공식 Vendor SQL parity, Repository/API/ADM 조회를 포함해 정상·오류·경계·부분 실패·재시도/복구·권한·감사·다중 인스턴스 영향까지 자동 Test와 최신 SHA Evidence로 검증한다.</x:v>
      </x:c>
      <x:c r="I89" s="12" t="str">
        <x:v>canonical schema + Spring Batch tables</x:v>
      </x:c>
      <x:c r="J89" s="12" t="str">
        <x:v>WP01</x:v>
      </x:c>
      <x:c r="K89" s="12" t="str"/>
      <x:c r="L89" s="12" t="str"/>
    </x:row>
    <x:row r="90">
      <x:c r="A90" s="12" t="str">
        <x:v>CPF-QA-D03-BATDB-028</x:v>
      </x:c>
      <x:c r="B90" s="12" t="str">
        <x:v>BATDB</x:v>
      </x:c>
      <x:c r="C90" s="12" t="str">
        <x:v>WP03</x:v>
      </x:c>
      <x:c r="D90" s="12" t="str">
        <x:v>부분 구현</x:v>
      </x:c>
      <x:c r="E90" s="12" t="str">
        <x:v>P0</x:v>
      </x:c>
      <x:c r="F90" s="12" t="str">
        <x:v>batDB Index·FK·대량 조회 성능</x:v>
      </x:c>
      <x:c r="G90" s="12" t="str">
        <x:v>batDB를 정본으로 하여 **batDB Index·FK·대량 조회 성능** 기능을 제품 계약·기본 구현·실제 Consumer·운영 기능까지 연결한다. 단순 Interface, 화면 Route, Sample 문자열만으로 완료 처리하지 않는다.</x:v>
      </x:c>
      <x:c r="H90" s="12" t="str">
        <x:v>MariaDB 실제 DB와 공식 Vendor SQL parity, Repository/API/ADM 조회를 포함해 정상·오류·경계·부분 실패·재시도/복구·권한·감사·다중 인스턴스 영향까지 자동 Test와 최신 SHA Evidence로 검증한다.</x:v>
      </x:c>
      <x:c r="I90" s="12" t="str">
        <x:v>canonical schema + Spring Batch tables</x:v>
      </x:c>
      <x:c r="J90" s="12" t="str">
        <x:v>WP01</x:v>
      </x:c>
      <x:c r="K90" s="12" t="str"/>
      <x:c r="L90" s="12" t="str"/>
    </x:row>
    <x:row r="91">
      <x:c r="A91" s="12" t="str">
        <x:v>CPF-QA-D03-BATDB-029</x:v>
      </x:c>
      <x:c r="B91" s="12" t="str">
        <x:v>BATDB</x:v>
      </x:c>
      <x:c r="C91" s="12" t="str">
        <x:v>WP03</x:v>
      </x:c>
      <x:c r="D91" s="12" t="str">
        <x:v>부분 구현</x:v>
      </x:c>
      <x:c r="E91" s="12" t="str">
        <x:v>P0</x:v>
      </x:c>
      <x:c r="F91" s="12" t="str">
        <x:v>Job Metadata Generator Template</x:v>
      </x:c>
      <x:c r="G91" s="12" t="str">
        <x:v>batDB를 정본으로 하여 **Job Metadata Generator Template** 기능을 제품 계약·기본 구현·실제 Consumer·운영 기능까지 연결한다. 단순 Interface, 화면 Route, Sample 문자열만으로 완료 처리하지 않는다.</x:v>
      </x:c>
      <x:c r="H91" s="12" t="str">
        <x:v>MariaDB 실제 DB와 공식 Vendor SQL parity, Repository/API/ADM 조회를 포함해 정상·오류·경계·부분 실패·재시도/복구·권한·감사·다중 인스턴스 영향까지 자동 Test와 최신 SHA Evidence로 검증한다.</x:v>
      </x:c>
      <x:c r="I91" s="12" t="str">
        <x:v>canonical schema + Spring Batch tables</x:v>
      </x:c>
      <x:c r="J91" s="12" t="str">
        <x:v>WP01</x:v>
      </x:c>
      <x:c r="K91" s="12" t="str"/>
      <x:c r="L91" s="12" t="str"/>
    </x:row>
    <x:row r="92">
      <x:c r="A92" s="12" t="str">
        <x:v>CPF-QA-D03-BATDB-030</x:v>
      </x:c>
      <x:c r="B92" s="12" t="str">
        <x:v>BATDB</x:v>
      </x:c>
      <x:c r="C92" s="12" t="str">
        <x:v>WP03</x:v>
      </x:c>
      <x:c r="D92" s="12" t="str">
        <x:v>부분 구현</x:v>
      </x:c>
      <x:c r="E92" s="12" t="str">
        <x:v>P0</x:v>
      </x:c>
      <x:c r="F92" s="12" t="str">
        <x:v>Job Metadata ADM 조회·검색·Paging</x:v>
      </x:c>
      <x:c r="G92" s="12" t="str">
        <x:v>batDB를 정본으로 하여 **Job Metadata ADM 조회·검색·Paging** 기능을 제품 계약·기본 구현·실제 Consumer·운영 기능까지 연결한다. 단순 Interface, 화면 Route, Sample 문자열만으로 완료 처리하지 않는다.</x:v>
      </x:c>
      <x:c r="H92" s="12" t="str">
        <x:v>MariaDB 실제 DB와 공식 Vendor SQL parity, Repository/API/ADM 조회를 포함해 정상·오류·경계·부분 실패·재시도/복구·권한·감사·다중 인스턴스 영향까지 자동 Test와 최신 SHA Evidence로 검증한다.</x:v>
      </x:c>
      <x:c r="I92" s="12" t="str">
        <x:v>canonical schema + Spring Batch tables</x:v>
      </x:c>
      <x:c r="J92" s="12" t="str">
        <x:v>WP01</x:v>
      </x:c>
      <x:c r="K92" s="12" t="str"/>
      <x:c r="L92" s="12" t="str"/>
    </x:row>
    <x:row r="93">
      <x:c r="A93" s="12" t="str">
        <x:v>CPF-QA-D03-BAT-001</x:v>
      </x:c>
      <x:c r="B93" s="12" t="str">
        <x:v>BAT</x:v>
      </x:c>
      <x:c r="C93" s="12" t="str">
        <x:v>WP04</x:v>
      </x:c>
      <x:c r="D93" s="12" t="str">
        <x:v>부분 구현</x:v>
      </x:c>
      <x:c r="E93" s="12" t="str">
        <x:v>P0</x:v>
      </x:c>
      <x:c r="F93" s="12" t="str">
        <x:v>일반 Job Batch</x:v>
      </x:c>
      <x:c r="G93" s="12" t="str">
        <x:v>cpf-batch와 cpf-reference에 **일반 Job Batch** 기능을 제품 계약·기본 구현·실제 Consumer·운영 기능까지 연결한다. 단순 Interface, 화면 Route, Sample 문자열만으로 완료 처리하지 않는다.</x:v>
      </x:c>
      <x:c r="H93" s="12" t="str">
        <x:v>Job 정의·batDB Metadata·Worker Runtime·ADM 상태를 함께 정상·오류·경계·부분 실패·재시도/복구·권한·감사·다중 인스턴스 영향까지 자동 Test와 최신 SHA Evidence로 검증한다.</x:v>
      </x:c>
      <x:c r="I93" s="12" t="str"/>
      <x:c r="J93" s="12" t="str"/>
      <x:c r="K93" s="12" t="str"/>
      <x:c r="L93" s="12" t="str"/>
    </x:row>
    <x:row r="94">
      <x:c r="A94" s="12" t="str">
        <x:v>CPF-QA-D03-BAT-002</x:v>
      </x:c>
      <x:c r="B94" s="12" t="str">
        <x:v>BAT</x:v>
      </x:c>
      <x:c r="C94" s="12" t="str">
        <x:v>WP04</x:v>
      </x:c>
      <x:c r="D94" s="12" t="str">
        <x:v>부분 구현</x:v>
      </x:c>
      <x:c r="E94" s="12" t="str">
        <x:v>P0</x:v>
      </x:c>
      <x:c r="F94" s="12" t="str">
        <x:v>Scheduled Batch</x:v>
      </x:c>
      <x:c r="G94" s="12" t="str">
        <x:v>cpf-batch와 cpf-reference에 **Scheduled Batch** 기능을 제품 계약·기본 구현·실제 Consumer·운영 기능까지 연결한다. 단순 Interface, 화면 Route, Sample 문자열만으로 완료 처리하지 않는다.</x:v>
      </x:c>
      <x:c r="H94" s="12" t="str">
        <x:v>Job 정의·batDB Metadata·Worker Runtime·ADM 상태를 함께 정상·오류·경계·부분 실패·재시도/복구·권한·감사·다중 인스턴스 영향까지 자동 Test와 최신 SHA Evidence로 검증한다.</x:v>
      </x:c>
      <x:c r="I94" s="12" t="str"/>
      <x:c r="J94" s="12" t="str"/>
      <x:c r="K94" s="12" t="str"/>
      <x:c r="L94" s="12" t="str"/>
    </x:row>
    <x:row r="95">
      <x:c r="A95" s="12" t="str">
        <x:v>CPF-QA-D03-BAT-003</x:v>
      </x:c>
      <x:c r="B95" s="12" t="str">
        <x:v>BAT</x:v>
      </x:c>
      <x:c r="C95" s="12" t="str">
        <x:v>WP04</x:v>
      </x:c>
      <x:c r="D95" s="12" t="str">
        <x:v>부분 구현</x:v>
      </x:c>
      <x:c r="E95" s="12" t="str">
        <x:v>P0</x:v>
      </x:c>
      <x:c r="F95" s="12" t="str">
        <x:v>On-Demand Batch</x:v>
      </x:c>
      <x:c r="G95" s="12" t="str">
        <x:v>cpf-batch와 cpf-reference에 **On-Demand Batch** 기능을 제품 계약·기본 구현·실제 Consumer·운영 기능까지 연결한다. 단순 Interface, 화면 Route, Sample 문자열만으로 완료 처리하지 않는다.</x:v>
      </x:c>
      <x:c r="H95" s="12" t="str">
        <x:v>Job 정의·batDB Metadata·Worker Runtime·ADM 상태를 함께 정상·오류·경계·부분 실패·재시도/복구·권한·감사·다중 인스턴스 영향까지 자동 Test와 최신 SHA Evidence로 검증한다.</x:v>
      </x:c>
      <x:c r="I95" s="12" t="str"/>
      <x:c r="J95" s="12" t="str"/>
      <x:c r="K95" s="12" t="str"/>
      <x:c r="L95" s="12" t="str"/>
    </x:row>
    <x:row r="96">
      <x:c r="A96" s="12" t="str">
        <x:v>CPF-QA-D03-BAT-004</x:v>
      </x:c>
      <x:c r="B96" s="12" t="str">
        <x:v>BAT</x:v>
      </x:c>
      <x:c r="C96" s="12" t="str">
        <x:v>WP04</x:v>
      </x:c>
      <x:c r="D96" s="12" t="str">
        <x:v>부분 구현</x:v>
      </x:c>
      <x:c r="E96" s="12" t="str">
        <x:v>P0</x:v>
      </x:c>
      <x:c r="F96" s="12" t="str">
        <x:v>Center-Cut Batch</x:v>
      </x:c>
      <x:c r="G96" s="12" t="str">
        <x:v>cpf-batch와 cpf-reference에 **Center-Cut Batch** 기능을 제품 계약·기본 구현·실제 Consumer·운영 기능까지 연결한다. 단순 Interface, 화면 Route, Sample 문자열만으로 완료 처리하지 않는다.</x:v>
      </x:c>
      <x:c r="H96" s="12" t="str">
        <x:v>Job 정의·batDB Metadata·Worker Runtime·ADM 상태를 함께 정상·오류·경계·부분 실패·재시도/복구·권한·감사·다중 인스턴스 영향까지 자동 Test와 최신 SHA Evidence로 검증한다.</x:v>
      </x:c>
      <x:c r="I96" s="12" t="str"/>
      <x:c r="J96" s="12" t="str"/>
      <x:c r="K96" s="12" t="str"/>
      <x:c r="L96" s="12" t="str"/>
    </x:row>
    <x:row r="97">
      <x:c r="A97" s="12" t="str">
        <x:v>CPF-QA-D03-BAT-005</x:v>
      </x:c>
      <x:c r="B97" s="12" t="str">
        <x:v>BAT</x:v>
      </x:c>
      <x:c r="C97" s="12" t="str">
        <x:v>WP04</x:v>
      </x:c>
      <x:c r="D97" s="12" t="str">
        <x:v>부분 구현</x:v>
      </x:c>
      <x:c r="E97" s="12" t="str">
        <x:v>P0</x:v>
      </x:c>
      <x:c r="F97" s="12" t="str">
        <x:v>File-Triggered Batch</x:v>
      </x:c>
      <x:c r="G97" s="12" t="str">
        <x:v>cpf-batch와 cpf-reference에 **File-Triggered Batch** 기능을 제품 계약·기본 구현·실제 Consumer·운영 기능까지 연결한다. 단순 Interface, 화면 Route, Sample 문자열만으로 완료 처리하지 않는다.</x:v>
      </x:c>
      <x:c r="H97" s="12" t="str">
        <x:v>Job 정의·batDB Metadata·Worker Runtime·ADM 상태를 함께 정상·오류·경계·부분 실패·재시도/복구·권한·감사·다중 인스턴스 영향까지 자동 Test와 최신 SHA Evidence로 검증한다.</x:v>
      </x:c>
      <x:c r="I97" s="12" t="str"/>
      <x:c r="J97" s="12" t="str"/>
      <x:c r="K97" s="12" t="str"/>
      <x:c r="L97" s="12" t="str"/>
    </x:row>
    <x:row r="98">
      <x:c r="A98" s="12" t="str">
        <x:v>CPF-QA-D03-BAT-006</x:v>
      </x:c>
      <x:c r="B98" s="12" t="str">
        <x:v>BAT</x:v>
      </x:c>
      <x:c r="C98" s="12" t="str">
        <x:v>WP04</x:v>
      </x:c>
      <x:c r="D98" s="12" t="str">
        <x:v>부분 구현</x:v>
      </x:c>
      <x:c r="E98" s="12" t="str">
        <x:v>P0</x:v>
      </x:c>
      <x:c r="F98" s="12" t="str">
        <x:v>Event-Triggered Batch</x:v>
      </x:c>
      <x:c r="G98" s="12" t="str">
        <x:v>cpf-batch와 cpf-reference에 **Event-Triggered Batch** 기능을 제품 계약·기본 구현·실제 Consumer·운영 기능까지 연결한다. 단순 Interface, 화면 Route, Sample 문자열만으로 완료 처리하지 않는다.</x:v>
      </x:c>
      <x:c r="H98" s="12" t="str">
        <x:v>Job 정의·batDB Metadata·Worker Runtime·ADM 상태를 함께 정상·오류·경계·부분 실패·재시도/복구·권한·감사·다중 인스턴스 영향까지 자동 Test와 최신 SHA Evidence로 검증한다.</x:v>
      </x:c>
      <x:c r="I98" s="12" t="str"/>
      <x:c r="J98" s="12" t="str"/>
      <x:c r="K98" s="12" t="str"/>
      <x:c r="L98" s="12" t="str"/>
    </x:row>
    <x:row r="99">
      <x:c r="A99" s="12" t="str">
        <x:v>CPF-QA-D03-BAT-007</x:v>
      </x:c>
      <x:c r="B99" s="12" t="str">
        <x:v>BAT</x:v>
      </x:c>
      <x:c r="C99" s="12" t="str">
        <x:v>WP04</x:v>
      </x:c>
      <x:c r="D99" s="12" t="str">
        <x:v>부분 구현</x:v>
      </x:c>
      <x:c r="E99" s="12" t="str">
        <x:v>P0</x:v>
      </x:c>
      <x:c r="F99" s="12" t="str">
        <x:v>Remote Partition Batch</x:v>
      </x:c>
      <x:c r="G99" s="12" t="str">
        <x:v>cpf-batch와 cpf-reference에 **Remote Partition Batch** 기능을 제품 계약·기본 구현·실제 Consumer·운영 기능까지 연결한다. 단순 Interface, 화면 Route, Sample 문자열만으로 완료 처리하지 않는다.</x:v>
      </x:c>
      <x:c r="H99" s="12" t="str">
        <x:v>Job 정의·batDB Metadata·Worker Runtime·ADM 상태를 함께 정상·오류·경계·부분 실패·재시도/복구·권한·감사·다중 인스턴스 영향까지 자동 Test와 최신 SHA Evidence로 검증한다.</x:v>
      </x:c>
      <x:c r="I99" s="12" t="str"/>
      <x:c r="J99" s="12" t="str"/>
      <x:c r="K99" s="12" t="str"/>
      <x:c r="L99" s="12" t="str"/>
    </x:row>
    <x:row r="100">
      <x:c r="A100" s="12" t="str">
        <x:v>CPF-QA-D03-BAT-008</x:v>
      </x:c>
      <x:c r="B100" s="12" t="str">
        <x:v>BAT</x:v>
      </x:c>
      <x:c r="C100" s="12" t="str">
        <x:v>WP04</x:v>
      </x:c>
      <x:c r="D100" s="12" t="str">
        <x:v>부분 구현</x:v>
      </x:c>
      <x:c r="E100" s="12" t="str">
        <x:v>P0</x:v>
      </x:c>
      <x:c r="F100" s="12" t="str">
        <x:v>Multi-Worker Batch</x:v>
      </x:c>
      <x:c r="G100" s="12" t="str">
        <x:v>cpf-batch와 cpf-reference에 **Multi-Worker Batch** 기능을 제품 계약·기본 구현·실제 Consumer·운영 기능까지 연결한다. 단순 Interface, 화면 Route, Sample 문자열만으로 완료 처리하지 않는다.</x:v>
      </x:c>
      <x:c r="H100" s="12" t="str">
        <x:v>Job 정의·batDB Metadata·Worker Runtime·ADM 상태를 함께 정상·오류·경계·부분 실패·재시도/복구·권한·감사·다중 인스턴스 영향까지 자동 Test와 최신 SHA Evidence로 검증한다.</x:v>
      </x:c>
      <x:c r="I100" s="12" t="str"/>
      <x:c r="J100" s="12" t="str"/>
      <x:c r="K100" s="12" t="str"/>
      <x:c r="L100" s="12" t="str"/>
    </x:row>
    <x:row r="101">
      <x:c r="A101" s="12" t="str">
        <x:v>CPF-QA-D03-BAT-009</x:v>
      </x:c>
      <x:c r="B101" s="12" t="str">
        <x:v>BAT</x:v>
      </x:c>
      <x:c r="C101" s="12" t="str">
        <x:v>WP04</x:v>
      </x:c>
      <x:c r="D101" s="12" t="str">
        <x:v>부분 구현</x:v>
      </x:c>
      <x:c r="E101" s="12" t="str">
        <x:v>P0</x:v>
      </x:c>
      <x:c r="F101" s="12" t="str">
        <x:v>Workflow Batch 선후행</x:v>
      </x:c>
      <x:c r="G101" s="12" t="str">
        <x:v>cpf-batch와 cpf-reference에 **Workflow Batch 선후행** 기능을 제품 계약·기본 구현·실제 Consumer·운영 기능까지 연결한다. 단순 Interface, 화면 Route, Sample 문자열만으로 완료 처리하지 않는다.</x:v>
      </x:c>
      <x:c r="H101" s="12" t="str">
        <x:v>Job 정의·batDB Metadata·Worker Runtime·ADM 상태를 함께 정상·오류·경계·부분 실패·재시도/복구·권한·감사·다중 인스턴스 영향까지 자동 Test와 최신 SHA Evidence로 검증한다.</x:v>
      </x:c>
      <x:c r="I101" s="12" t="str"/>
      <x:c r="J101" s="12" t="str"/>
      <x:c r="K101" s="12" t="str"/>
      <x:c r="L101" s="12" t="str"/>
    </x:row>
    <x:row r="102">
      <x:c r="A102" s="12" t="str">
        <x:v>CPF-QA-D03-BAT-010</x:v>
      </x:c>
      <x:c r="B102" s="12" t="str">
        <x:v>BAT</x:v>
      </x:c>
      <x:c r="C102" s="12" t="str">
        <x:v>WP04</x:v>
      </x:c>
      <x:c r="D102" s="12" t="str">
        <x:v>부분 구현</x:v>
      </x:c>
      <x:c r="E102" s="12" t="str">
        <x:v>P0</x:v>
      </x:c>
      <x:c r="F102" s="12" t="str">
        <x:v>Workflow Batch 병렬·합류</x:v>
      </x:c>
      <x:c r="G102" s="12" t="str">
        <x:v>cpf-batch와 cpf-reference에 **Workflow Batch 병렬·합류** 기능을 제품 계약·기본 구현·실제 Consumer·운영 기능까지 연결한다. 단순 Interface, 화면 Route, Sample 문자열만으로 완료 처리하지 않는다.</x:v>
      </x:c>
      <x:c r="H102" s="12" t="str">
        <x:v>Job 정의·batDB Metadata·Worker Runtime·ADM 상태를 함께 정상·오류·경계·부분 실패·재시도/복구·권한·감사·다중 인스턴스 영향까지 자동 Test와 최신 SHA Evidence로 검증한다.</x:v>
      </x:c>
      <x:c r="I102" s="12" t="str"/>
      <x:c r="J102" s="12" t="str"/>
      <x:c r="K102" s="12" t="str"/>
      <x:c r="L102" s="12" t="str"/>
    </x:row>
    <x:row r="103">
      <x:c r="A103" s="12" t="str">
        <x:v>CPF-QA-D03-BAT-011</x:v>
      </x:c>
      <x:c r="B103" s="12" t="str">
        <x:v>BAT</x:v>
      </x:c>
      <x:c r="C103" s="12" t="str">
        <x:v>WP04</x:v>
      </x:c>
      <x:c r="D103" s="12" t="str">
        <x:v>부분 구현</x:v>
      </x:c>
      <x:c r="E103" s="12" t="str">
        <x:v>P0</x:v>
      </x:c>
      <x:c r="F103" s="12" t="str">
        <x:v>Recovery/Reprocessing Batch</x:v>
      </x:c>
      <x:c r="G103" s="12" t="str">
        <x:v>cpf-batch와 cpf-reference에 **Recovery/Reprocessing Batch** 기능을 제품 계약·기본 구현·실제 Consumer·운영 기능까지 연결한다. 단순 Interface, 화면 Route, Sample 문자열만으로 완료 처리하지 않는다.</x:v>
      </x:c>
      <x:c r="H103" s="12" t="str">
        <x:v>Job 정의·batDB Metadata·Worker Runtime·ADM 상태를 함께 정상·오류·경계·부분 실패·재시도/복구·권한·감사·다중 인스턴스 영향까지 자동 Test와 최신 SHA Evidence로 검증한다.</x:v>
      </x:c>
      <x:c r="I103" s="12" t="str"/>
      <x:c r="J103" s="12" t="str"/>
      <x:c r="K103" s="12" t="str"/>
      <x:c r="L103" s="12" t="str"/>
    </x:row>
    <x:row r="104">
      <x:c r="A104" s="12" t="str">
        <x:v>CPF-QA-D03-BAT-012</x:v>
      </x:c>
      <x:c r="B104" s="12" t="str">
        <x:v>BAT</x:v>
      </x:c>
      <x:c r="C104" s="12" t="str">
        <x:v>WP04</x:v>
      </x:c>
      <x:c r="D104" s="12" t="str">
        <x:v>부분 구현</x:v>
      </x:c>
      <x:c r="E104" s="12" t="str">
        <x:v>P0</x:v>
      </x:c>
      <x:c r="F104" s="12" t="str">
        <x:v>Housekeeping Batch</x:v>
      </x:c>
      <x:c r="G104" s="12" t="str">
        <x:v>cpf-batch와 cpf-reference에 **Housekeeping Batch** 기능을 제품 계약·기본 구현·실제 Consumer·운영 기능까지 연결한다. 단순 Interface, 화면 Route, Sample 문자열만으로 완료 처리하지 않는다.</x:v>
      </x:c>
      <x:c r="H104" s="12" t="str">
        <x:v>Job 정의·batDB Metadata·Worker Runtime·ADM 상태를 함께 정상·오류·경계·부분 실패·재시도/복구·권한·감사·다중 인스턴스 영향까지 자동 Test와 최신 SHA Evidence로 검증한다.</x:v>
      </x:c>
      <x:c r="I104" s="12" t="str"/>
      <x:c r="J104" s="12" t="str"/>
      <x:c r="K104" s="12" t="str"/>
      <x:c r="L104" s="12" t="str"/>
    </x:row>
    <x:row r="105">
      <x:c r="A105" s="12" t="str">
        <x:v>CPF-QA-D03-BAT-013</x:v>
      </x:c>
      <x:c r="B105" s="12" t="str">
        <x:v>BAT</x:v>
      </x:c>
      <x:c r="C105" s="12" t="str">
        <x:v>WP04</x:v>
      </x:c>
      <x:c r="D105" s="12" t="str">
        <x:v>부분 구현</x:v>
      </x:c>
      <x:c r="E105" s="12" t="str">
        <x:v>P0</x:v>
      </x:c>
      <x:c r="F105" s="12" t="str">
        <x:v>Agent/Host 작업 Batch</x:v>
      </x:c>
      <x:c r="G105" s="12" t="str">
        <x:v>cpf-batch와 cpf-reference에 **Agent/Host 작업 Batch** 기능을 제품 계약·기본 구현·실제 Consumer·운영 기능까지 연결한다. 단순 Interface, 화면 Route, Sample 문자열만으로 완료 처리하지 않는다.</x:v>
      </x:c>
      <x:c r="H105" s="12" t="str">
        <x:v>Job 정의·batDB Metadata·Worker Runtime·ADM 상태를 함께 정상·오류·경계·부분 실패·재시도/복구·권한·감사·다중 인스턴스 영향까지 자동 Test와 최신 SHA Evidence로 검증한다.</x:v>
      </x:c>
      <x:c r="I105" s="12" t="str"/>
      <x:c r="J105" s="12" t="str"/>
      <x:c r="K105" s="12" t="str"/>
      <x:c r="L105" s="12" t="str"/>
    </x:row>
    <x:row r="106">
      <x:c r="A106" s="12" t="str">
        <x:v>CPF-QA-D03-BAT-014</x:v>
      </x:c>
      <x:c r="B106" s="12" t="str">
        <x:v>BAT</x:v>
      </x:c>
      <x:c r="C106" s="12" t="str">
        <x:v>WP04</x:v>
      </x:c>
      <x:c r="D106" s="12" t="str">
        <x:v>부분 구현</x:v>
      </x:c>
      <x:c r="E106" s="12" t="str">
        <x:v>P0</x:v>
      </x:c>
      <x:c r="F106" s="12" t="str">
        <x:v>Migration/Initial Load Batch</x:v>
      </x:c>
      <x:c r="G106" s="12" t="str">
        <x:v>cpf-batch와 cpf-reference에 **Migration/Initial Load Batch** 기능을 제품 계약·기본 구현·실제 Consumer·운영 기능까지 연결한다. 단순 Interface, 화면 Route, Sample 문자열만으로 완료 처리하지 않는다.</x:v>
      </x:c>
      <x:c r="H106" s="12" t="str">
        <x:v>Job 정의·batDB Metadata·Worker Runtime·ADM 상태를 함께 정상·오류·경계·부분 실패·재시도/복구·권한·감사·다중 인스턴스 영향까지 자동 Test와 최신 SHA Evidence로 검증한다.</x:v>
      </x:c>
      <x:c r="I106" s="12" t="str"/>
      <x:c r="J106" s="12" t="str"/>
      <x:c r="K106" s="12" t="str"/>
      <x:c r="L106" s="12" t="str"/>
    </x:row>
    <x:row r="107">
      <x:c r="A107" s="12" t="str">
        <x:v>CPF-QA-D03-BAT-015</x:v>
      </x:c>
      <x:c r="B107" s="12" t="str">
        <x:v>BAT</x:v>
      </x:c>
      <x:c r="C107" s="12" t="str">
        <x:v>WP04</x:v>
      </x:c>
      <x:c r="D107" s="12" t="str">
        <x:v>부분 구현</x:v>
      </x:c>
      <x:c r="E107" s="12" t="str">
        <x:v>P0</x:v>
      </x:c>
      <x:c r="F107" s="12" t="str">
        <x:v>End-of-Day·Center-Cut 업무일 Batch</x:v>
      </x:c>
      <x:c r="G107" s="12" t="str">
        <x:v>cpf-batch와 cpf-reference에 **End-of-Day·Center-Cut 업무일 Batch** 기능을 제품 계약·기본 구현·실제 Consumer·운영 기능까지 연결한다. 단순 Interface, 화면 Route, Sample 문자열만으로 완료 처리하지 않는다.</x:v>
      </x:c>
      <x:c r="H107" s="12" t="str">
        <x:v>Job 정의·batDB Metadata·Worker Runtime·ADM 상태를 함께 정상·오류·경계·부분 실패·재시도/복구·권한·감사·다중 인스턴스 영향까지 자동 Test와 최신 SHA Evidence로 검증한다.</x:v>
      </x:c>
      <x:c r="I107" s="12" t="str"/>
      <x:c r="J107" s="12" t="str"/>
      <x:c r="K107" s="12" t="str"/>
      <x:c r="L107" s="12" t="str"/>
    </x:row>
    <x:row r="108">
      <x:c r="A108" s="12" t="str">
        <x:v>CPF-QA-D03-BAT-016</x:v>
      </x:c>
      <x:c r="B108" s="12" t="str">
        <x:v>BAT</x:v>
      </x:c>
      <x:c r="C108" s="12" t="str">
        <x:v>WP04</x:v>
      </x:c>
      <x:c r="D108" s="12" t="str">
        <x:v>부분 구현</x:v>
      </x:c>
      <x:c r="E108" s="12" t="str">
        <x:v>P0</x:v>
      </x:c>
      <x:c r="F108" s="12" t="str">
        <x:v>대외연계 호출 포함 Batch</x:v>
      </x:c>
      <x:c r="G108" s="12" t="str">
        <x:v>cpf-batch와 cpf-reference에 **대외연계 호출 포함 Batch** 기능을 제품 계약·기본 구현·실제 Consumer·운영 기능까지 연결한다. 단순 Interface, 화면 Route, Sample 문자열만으로 완료 처리하지 않는다.</x:v>
      </x:c>
      <x:c r="H108" s="12" t="str">
        <x:v>Job 정의·batDB Metadata·Worker Runtime·ADM 상태를 함께 정상·오류·경계·부분 실패·재시도/복구·권한·감사·다중 인스턴스 영향까지 자동 Test와 최신 SHA Evidence로 검증한다.</x:v>
      </x:c>
      <x:c r="I108" s="12" t="str"/>
      <x:c r="J108" s="12" t="str"/>
      <x:c r="K108" s="12" t="str"/>
      <x:c r="L108" s="12" t="str"/>
    </x:row>
    <x:row r="109">
      <x:c r="A109" s="12" t="str">
        <x:v>CPF-QA-D03-BAT-017</x:v>
      </x:c>
      <x:c r="B109" s="12" t="str">
        <x:v>BAT</x:v>
      </x:c>
      <x:c r="C109" s="12" t="str">
        <x:v>WP04</x:v>
      </x:c>
      <x:c r="D109" s="12" t="str">
        <x:v>부분 구현</x:v>
      </x:c>
      <x:c r="E109" s="12" t="str">
        <x:v>P0</x:v>
      </x:c>
      <x:c r="F109" s="12" t="str">
        <x:v>장시간 실행 Batch Heartbeat</x:v>
      </x:c>
      <x:c r="G109" s="12" t="str">
        <x:v>cpf-batch와 cpf-reference에 **장시간 실행 Batch Heartbeat** 기능을 제품 계약·기본 구현·실제 Consumer·운영 기능까지 연결한다. 단순 Interface, 화면 Route, Sample 문자열만으로 완료 처리하지 않는다.</x:v>
      </x:c>
      <x:c r="H109" s="12" t="str">
        <x:v>Job 정의·batDB Metadata·Worker Runtime·ADM 상태를 함께 정상·오류·경계·부분 실패·재시도/복구·권한·감사·다중 인스턴스 영향까지 자동 Test와 최신 SHA Evidence로 검증한다.</x:v>
      </x:c>
      <x:c r="I109" s="12" t="str"/>
      <x:c r="J109" s="12" t="str"/>
      <x:c r="K109" s="12" t="str"/>
      <x:c r="L109" s="12" t="str"/>
    </x:row>
    <x:row r="110">
      <x:c r="A110" s="12" t="str">
        <x:v>CPF-QA-D03-BAT-018</x:v>
      </x:c>
      <x:c r="B110" s="12" t="str">
        <x:v>BAT</x:v>
      </x:c>
      <x:c r="C110" s="12" t="str">
        <x:v>WP04</x:v>
      </x:c>
      <x:c r="D110" s="12" t="str">
        <x:v>부분 구현</x:v>
      </x:c>
      <x:c r="E110" s="12" t="str">
        <x:v>P0</x:v>
      </x:c>
      <x:c r="F110" s="12" t="str">
        <x:v>결과 불명 외부 호출 복구 Batch</x:v>
      </x:c>
      <x:c r="G110" s="12" t="str">
        <x:v>cpf-batch와 cpf-reference에 **결과 불명 외부 호출 복구 Batch** 기능을 제품 계약·기본 구현·실제 Consumer·운영 기능까지 연결한다. 단순 Interface, 화면 Route, Sample 문자열만으로 완료 처리하지 않는다.</x:v>
      </x:c>
      <x:c r="H110" s="12" t="str">
        <x:v>Job 정의·batDB Metadata·Worker Runtime·ADM 상태를 함께 정상·오류·경계·부분 실패·재시도/복구·권한·감사·다중 인스턴스 영향까지 자동 Test와 최신 SHA Evidence로 검증한다.</x:v>
      </x:c>
      <x:c r="I110" s="12" t="str"/>
      <x:c r="J110" s="12" t="str"/>
      <x:c r="K110" s="12" t="str"/>
      <x:c r="L110" s="12" t="str"/>
    </x:row>
    <x:row r="111">
      <x:c r="A111" s="12" t="str">
        <x:v>CPF-QA-D03-BATOPS-002</x:v>
      </x:c>
      <x:c r="B111" s="12" t="str">
        <x:v>BATOPS</x:v>
      </x:c>
      <x:c r="C111" s="12" t="str">
        <x:v>WP05</x:v>
      </x:c>
      <x:c r="D111" s="12" t="str">
        <x:v>부분 구현</x:v>
      </x:c>
      <x:c r="E111" s="12" t="str">
        <x:v>P0</x:v>
      </x:c>
      <x:c r="F111" s="12" t="str">
        <x:v>Job 즉시 강제 실행</x:v>
      </x:c>
      <x:c r="G111" s="12" t="str">
        <x:v>ADM Batch Control Console에서 **Job 즉시 강제 실행** 기능을 제품 계약·기본 구현·실제 Consumer·운영 기능까지 연결한다. 단순 Interface, 화면 Route, Sample 문자열만으로 완료 처리하지 않는다.</x:v>
      </x:c>
      <x:c r="H111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11" s="12" t="str"/>
      <x:c r="J111" s="12" t="str">
        <x:v>WP03,WP04</x:v>
      </x:c>
      <x:c r="K111" s="12" t="str"/>
      <x:c r="L111" s="12" t="str">
        <x:v>WAS+MariaDB</x:v>
      </x:c>
    </x:row>
    <x:row r="112">
      <x:c r="A112" s="12" t="str">
        <x:v>CPF-QA-D03-BATOPS-003</x:v>
      </x:c>
      <x:c r="B112" s="12" t="str">
        <x:v>BATOPS</x:v>
      </x:c>
      <x:c r="C112" s="12" t="str">
        <x:v>WP05</x:v>
      </x:c>
      <x:c r="D112" s="12" t="str">
        <x:v>부분 구현</x:v>
      </x:c>
      <x:c r="E112" s="12" t="str">
        <x:v>P0</x:v>
      </x:c>
      <x:c r="F112" s="12" t="str">
        <x:v>예약 실행</x:v>
      </x:c>
      <x:c r="G112" s="12" t="str">
        <x:v>ADM Batch Control Console에서 **예약 실행** 기능을 제품 계약·기본 구현·실제 Consumer·운영 기능까지 연결한다. 단순 Interface, 화면 Route, Sample 문자열만으로 완료 처리하지 않는다.</x:v>
      </x:c>
      <x:c r="H112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12" s="12" t="str"/>
      <x:c r="J112" s="12" t="str">
        <x:v>WP03,WP04</x:v>
      </x:c>
      <x:c r="K112" s="12" t="str"/>
      <x:c r="L112" s="12" t="str">
        <x:v>WAS+MariaDB</x:v>
      </x:c>
    </x:row>
    <x:row r="113">
      <x:c r="A113" s="12" t="str">
        <x:v>CPF-QA-D03-BATOPS-004</x:v>
      </x:c>
      <x:c r="B113" s="12" t="str">
        <x:v>BATOPS</x:v>
      </x:c>
      <x:c r="C113" s="12" t="str">
        <x:v>WP05</x:v>
      </x:c>
      <x:c r="D113" s="12" t="str">
        <x:v>부분 구현</x:v>
      </x:c>
      <x:c r="E113" s="12" t="str">
        <x:v>P0</x:v>
      </x:c>
      <x:c r="F113" s="12" t="str">
        <x:v>파라미터 지정 재실행</x:v>
      </x:c>
      <x:c r="G113" s="12" t="str">
        <x:v>ADM Batch Control Console에서 **파라미터 지정 재실행** 기능을 제품 계약·기본 구현·실제 Consumer·운영 기능까지 연결한다. 단순 Interface, 화면 Route, Sample 문자열만으로 완료 처리하지 않는다.</x:v>
      </x:c>
      <x:c r="H113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13" s="12" t="str"/>
      <x:c r="J113" s="12" t="str">
        <x:v>WP03,WP04</x:v>
      </x:c>
      <x:c r="K113" s="12" t="str"/>
      <x:c r="L113" s="12" t="str">
        <x:v>WAS+MariaDB</x:v>
      </x:c>
    </x:row>
    <x:row r="114">
      <x:c r="A114" s="12" t="str">
        <x:v>CPF-QA-D03-BATOPS-005</x:v>
      </x:c>
      <x:c r="B114" s="12" t="str">
        <x:v>BATOPS</x:v>
      </x:c>
      <x:c r="C114" s="12" t="str">
        <x:v>WP05</x:v>
      </x:c>
      <x:c r="D114" s="12" t="str">
        <x:v>부분 구현</x:v>
      </x:c>
      <x:c r="E114" s="12" t="str">
        <x:v>P0</x:v>
      </x:c>
      <x:c r="F114" s="12" t="str">
        <x:v>실패 Job 재시작</x:v>
      </x:c>
      <x:c r="G114" s="12" t="str">
        <x:v>ADM Batch Control Console에서 **실패 Job 재시작** 기능을 제품 계약·기본 구현·실제 Consumer·운영 기능까지 연결한다. 단순 Interface, 화면 Route, Sample 문자열만으로 완료 처리하지 않는다.</x:v>
      </x:c>
      <x:c r="H114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14" s="12" t="str"/>
      <x:c r="J114" s="12" t="str">
        <x:v>WP03,WP04</x:v>
      </x:c>
      <x:c r="K114" s="12" t="str"/>
      <x:c r="L114" s="12" t="str">
        <x:v>WAS+MariaDB</x:v>
      </x:c>
    </x:row>
    <x:row r="115">
      <x:c r="A115" s="12" t="str">
        <x:v>CPF-QA-D03-BATOPS-006</x:v>
      </x:c>
      <x:c r="B115" s="12" t="str">
        <x:v>BATOPS</x:v>
      </x:c>
      <x:c r="C115" s="12" t="str">
        <x:v>WP05</x:v>
      </x:c>
      <x:c r="D115" s="12" t="str">
        <x:v>부분 구현</x:v>
      </x:c>
      <x:c r="E115" s="12" t="str">
        <x:v>P0</x:v>
      </x:c>
      <x:c r="F115" s="12" t="str">
        <x:v>특정 Step 재시작</x:v>
      </x:c>
      <x:c r="G115" s="12" t="str">
        <x:v>ADM Batch Control Console에서 **특정 Step 재시작** 기능을 제품 계약·기본 구현·실제 Consumer·운영 기능까지 연결한다. 단순 Interface, 화면 Route, Sample 문자열만으로 완료 처리하지 않는다.</x:v>
      </x:c>
      <x:c r="H115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15" s="12" t="str"/>
      <x:c r="J115" s="12" t="str">
        <x:v>WP03,WP04</x:v>
      </x:c>
      <x:c r="K115" s="12" t="str"/>
      <x:c r="L115" s="12" t="str">
        <x:v>WAS+MariaDB</x:v>
      </x:c>
    </x:row>
    <x:row r="116">
      <x:c r="A116" s="12" t="str">
        <x:v>CPF-QA-D03-BATOPS-007</x:v>
      </x:c>
      <x:c r="B116" s="12" t="str">
        <x:v>BATOPS</x:v>
      </x:c>
      <x:c r="C116" s="12" t="str">
        <x:v>WP05</x:v>
      </x:c>
      <x:c r="D116" s="12" t="str">
        <x:v>부분 구현</x:v>
      </x:c>
      <x:c r="E116" s="12" t="str">
        <x:v>P0</x:v>
      </x:c>
      <x:c r="F116" s="12" t="str">
        <x:v>특정 Chunk 재처리</x:v>
      </x:c>
      <x:c r="G116" s="12" t="str">
        <x:v>ADM Batch Control Console에서 **특정 Chunk 재처리** 기능을 제품 계약·기본 구현·실제 Consumer·운영 기능까지 연결한다. 단순 Interface, 화면 Route, Sample 문자열만으로 완료 처리하지 않는다.</x:v>
      </x:c>
      <x:c r="H116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16" s="12" t="str"/>
      <x:c r="J116" s="12" t="str">
        <x:v>WP03,WP04</x:v>
      </x:c>
      <x:c r="K116" s="12" t="str"/>
      <x:c r="L116" s="12" t="str">
        <x:v>WAS+MariaDB</x:v>
      </x:c>
    </x:row>
    <x:row r="117">
      <x:c r="A117" s="12" t="str">
        <x:v>CPF-QA-D03-BATOPS-008</x:v>
      </x:c>
      <x:c r="B117" s="12" t="str">
        <x:v>BATOPS</x:v>
      </x:c>
      <x:c r="C117" s="12" t="str">
        <x:v>WP05</x:v>
      </x:c>
      <x:c r="D117" s="12" t="str">
        <x:v>부분 구현</x:v>
      </x:c>
      <x:c r="E117" s="12" t="str">
        <x:v>P0</x:v>
      </x:c>
      <x:c r="F117" s="12" t="str">
        <x:v>특정 업무 대상만 재처리</x:v>
      </x:c>
      <x:c r="G117" s="12" t="str">
        <x:v>ADM Batch Control Console에서 **특정 업무 대상만 재처리** 기능을 제품 계약·기본 구현·실제 Consumer·운영 기능까지 연결한다. 단순 Interface, 화면 Route, Sample 문자열만으로 완료 처리하지 않는다.</x:v>
      </x:c>
      <x:c r="H117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17" s="12" t="str"/>
      <x:c r="J117" s="12" t="str">
        <x:v>WP03,WP04</x:v>
      </x:c>
      <x:c r="K117" s="12" t="str"/>
      <x:c r="L117" s="12" t="str">
        <x:v>WAS+MariaDB</x:v>
      </x:c>
    </x:row>
    <x:row r="118">
      <x:c r="A118" s="12" t="str">
        <x:v>CPF-QA-D03-BATOPS-009</x:v>
      </x:c>
      <x:c r="B118" s="12" t="str">
        <x:v>BATOPS</x:v>
      </x:c>
      <x:c r="C118" s="12" t="str">
        <x:v>WP05</x:v>
      </x:c>
      <x:c r="D118" s="12" t="str">
        <x:v>부분 구현</x:v>
      </x:c>
      <x:c r="E118" s="12" t="str">
        <x:v>P0</x:v>
      </x:c>
      <x:c r="F118" s="12" t="str">
        <x:v>실행 일시정지</x:v>
      </x:c>
      <x:c r="G118" s="12" t="str">
        <x:v>ADM Batch Control Console에서 **실행 일시정지** 기능을 제품 계약·기본 구현·실제 Consumer·운영 기능까지 연결한다. 단순 Interface, 화면 Route, Sample 문자열만으로 완료 처리하지 않는다.</x:v>
      </x:c>
      <x:c r="H118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18" s="12" t="str"/>
      <x:c r="J118" s="12" t="str">
        <x:v>WP03,WP04</x:v>
      </x:c>
      <x:c r="K118" s="12" t="str"/>
      <x:c r="L118" s="12" t="str">
        <x:v>WAS+MariaDB</x:v>
      </x:c>
    </x:row>
    <x:row r="119">
      <x:c r="A119" s="12" t="str">
        <x:v>CPF-QA-D03-BATOPS-010</x:v>
      </x:c>
      <x:c r="B119" s="12" t="str">
        <x:v>BATOPS</x:v>
      </x:c>
      <x:c r="C119" s="12" t="str">
        <x:v>WP05</x:v>
      </x:c>
      <x:c r="D119" s="12" t="str">
        <x:v>부분 구현</x:v>
      </x:c>
      <x:c r="E119" s="12" t="str">
        <x:v>P0</x:v>
      </x:c>
      <x:c r="F119" s="12" t="str">
        <x:v>실행 재개</x:v>
      </x:c>
      <x:c r="G119" s="12" t="str">
        <x:v>ADM Batch Control Console에서 **실행 재개** 기능을 제품 계약·기본 구현·실제 Consumer·운영 기능까지 연결한다. 단순 Interface, 화면 Route, Sample 문자열만으로 완료 처리하지 않는다.</x:v>
      </x:c>
      <x:c r="H119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19" s="12" t="str"/>
      <x:c r="J119" s="12" t="str">
        <x:v>WP03,WP04</x:v>
      </x:c>
      <x:c r="K119" s="12" t="str"/>
      <x:c r="L119" s="12" t="str">
        <x:v>WAS+MariaDB</x:v>
      </x:c>
    </x:row>
    <x:row r="120">
      <x:c r="A120" s="12" t="str">
        <x:v>CPF-QA-D03-BATOPS-011</x:v>
      </x:c>
      <x:c r="B120" s="12" t="str">
        <x:v>BATOPS</x:v>
      </x:c>
      <x:c r="C120" s="12" t="str">
        <x:v>WP05</x:v>
      </x:c>
      <x:c r="D120" s="12" t="str">
        <x:v>부분 구현</x:v>
      </x:c>
      <x:c r="E120" s="12" t="str">
        <x:v>P0</x:v>
      </x:c>
      <x:c r="F120" s="12" t="str">
        <x:v>실행 취소</x:v>
      </x:c>
      <x:c r="G120" s="12" t="str">
        <x:v>ADM Batch Control Console에서 **실행 취소** 기능을 제품 계약·기본 구현·실제 Consumer·운영 기능까지 연결한다. 단순 Interface, 화면 Route, Sample 문자열만으로 완료 처리하지 않는다.</x:v>
      </x:c>
      <x:c r="H120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20" s="12" t="str"/>
      <x:c r="J120" s="12" t="str">
        <x:v>WP03,WP04</x:v>
      </x:c>
      <x:c r="K120" s="12" t="str"/>
      <x:c r="L120" s="12" t="str">
        <x:v>WAS+MariaDB</x:v>
      </x:c>
    </x:row>
    <x:row r="121">
      <x:c r="A121" s="12" t="str">
        <x:v>CPF-QA-D03-BATOPS-012</x:v>
      </x:c>
      <x:c r="B121" s="12" t="str">
        <x:v>BATOPS</x:v>
      </x:c>
      <x:c r="C121" s="12" t="str">
        <x:v>WP05</x:v>
      </x:c>
      <x:c r="D121" s="12" t="str">
        <x:v>부분 구현</x:v>
      </x:c>
      <x:c r="E121" s="12" t="str">
        <x:v>P0</x:v>
      </x:c>
      <x:c r="F121" s="12" t="str">
        <x:v>강제 종료</x:v>
      </x:c>
      <x:c r="G121" s="12" t="str">
        <x:v>ADM Batch Control Console에서 **강제 종료** 기능을 제품 계약·기본 구현·실제 Consumer·운영 기능까지 연결한다. 단순 Interface, 화면 Route, Sample 문자열만으로 완료 처리하지 않는다.</x:v>
      </x:c>
      <x:c r="H121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21" s="12" t="str"/>
      <x:c r="J121" s="12" t="str">
        <x:v>WP03,WP04</x:v>
      </x:c>
      <x:c r="K121" s="12" t="str"/>
      <x:c r="L121" s="12" t="str">
        <x:v>WAS+MariaDB</x:v>
      </x:c>
    </x:row>
    <x:row r="122">
      <x:c r="A122" s="12" t="str">
        <x:v>CPF-QA-D03-BATOPS-013</x:v>
      </x:c>
      <x:c r="B122" s="12" t="str">
        <x:v>BATOPS</x:v>
      </x:c>
      <x:c r="C122" s="12" t="str">
        <x:v>WP05</x:v>
      </x:c>
      <x:c r="D122" s="12" t="str">
        <x:v>부분 구현</x:v>
      </x:c>
      <x:c r="E122" s="12" t="str">
        <x:v>P0</x:v>
      </x:c>
      <x:c r="F122" s="12" t="str">
        <x:v>Job 신규 실행 차단</x:v>
      </x:c>
      <x:c r="G122" s="12" t="str">
        <x:v>ADM Batch Control Console에서 **Job 신규 실행 차단** 기능을 제품 계약·기본 구현·실제 Consumer·운영 기능까지 연결한다. 단순 Interface, 화면 Route, Sample 문자열만으로 완료 처리하지 않는다.</x:v>
      </x:c>
      <x:c r="H122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22" s="12" t="str"/>
      <x:c r="J122" s="12" t="str">
        <x:v>WP03,WP04</x:v>
      </x:c>
      <x:c r="K122" s="12" t="str"/>
      <x:c r="L122" s="12" t="str">
        <x:v>WAS+MariaDB</x:v>
      </x:c>
    </x:row>
    <x:row r="123">
      <x:c r="A123" s="12" t="str">
        <x:v>CPF-QA-D03-BATOPS-014</x:v>
      </x:c>
      <x:c r="B123" s="12" t="str">
        <x:v>BATOPS</x:v>
      </x:c>
      <x:c r="C123" s="12" t="str">
        <x:v>WP05</x:v>
      </x:c>
      <x:c r="D123" s="12" t="str">
        <x:v>부분 구현</x:v>
      </x:c>
      <x:c r="E123" s="12" t="str">
        <x:v>P0</x:v>
      </x:c>
      <x:c r="F123" s="12" t="str">
        <x:v>Job 강제 Lock</x:v>
      </x:c>
      <x:c r="G123" s="12" t="str">
        <x:v>ADM Batch Control Console에서 **Job 강제 Lock** 기능을 제품 계약·기본 구현·실제 Consumer·운영 기능까지 연결한다. 단순 Interface, 화면 Route, Sample 문자열만으로 완료 처리하지 않는다.</x:v>
      </x:c>
      <x:c r="H123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23" s="12" t="str"/>
      <x:c r="J123" s="12" t="str">
        <x:v>WP03,WP04</x:v>
      </x:c>
      <x:c r="K123" s="12" t="str"/>
      <x:c r="L123" s="12" t="str">
        <x:v>WAS+MariaDB</x:v>
      </x:c>
    </x:row>
    <x:row r="124">
      <x:c r="A124" s="12" t="str">
        <x:v>CPF-QA-D03-BATOPS-015</x:v>
      </x:c>
      <x:c r="B124" s="12" t="str">
        <x:v>BATOPS</x:v>
      </x:c>
      <x:c r="C124" s="12" t="str">
        <x:v>WP05</x:v>
      </x:c>
      <x:c r="D124" s="12" t="str">
        <x:v>부분 구현</x:v>
      </x:c>
      <x:c r="E124" s="12" t="str">
        <x:v>P0</x:v>
      </x:c>
      <x:c r="F124" s="12" t="str">
        <x:v>Lock 만료시간 설정</x:v>
      </x:c>
      <x:c r="G124" s="12" t="str">
        <x:v>ADM Batch Control Console에서 **Lock 만료시간 설정** 기능을 제품 계약·기본 구현·실제 Consumer·운영 기능까지 연결한다. 단순 Interface, 화면 Route, Sample 문자열만으로 완료 처리하지 않는다.</x:v>
      </x:c>
      <x:c r="H124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24" s="12" t="str"/>
      <x:c r="J124" s="12" t="str">
        <x:v>WP03,WP04</x:v>
      </x:c>
      <x:c r="K124" s="12" t="str"/>
      <x:c r="L124" s="12" t="str">
        <x:v>WAS+MariaDB</x:v>
      </x:c>
    </x:row>
    <x:row r="125">
      <x:c r="A125" s="12" t="str">
        <x:v>CPF-QA-D03-BATOPS-016</x:v>
      </x:c>
      <x:c r="B125" s="12" t="str">
        <x:v>BATOPS</x:v>
      </x:c>
      <x:c r="C125" s="12" t="str">
        <x:v>WP05</x:v>
      </x:c>
      <x:c r="D125" s="12" t="str">
        <x:v>부분 구현</x:v>
      </x:c>
      <x:c r="E125" s="12" t="str">
        <x:v>P0</x:v>
      </x:c>
      <x:c r="F125" s="12" t="str">
        <x:v>안전한 Lock 해제</x:v>
      </x:c>
      <x:c r="G125" s="12" t="str">
        <x:v>ADM Batch Control Console에서 **안전한 Lock 해제** 기능을 제품 계약·기본 구현·실제 Consumer·운영 기능까지 연결한다. 단순 Interface, 화면 Route, Sample 문자열만으로 완료 처리하지 않는다.</x:v>
      </x:c>
      <x:c r="H125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25" s="12" t="str"/>
      <x:c r="J125" s="12" t="str">
        <x:v>WP03,WP04</x:v>
      </x:c>
      <x:c r="K125" s="12" t="str"/>
      <x:c r="L125" s="12" t="str">
        <x:v>WAS+MariaDB</x:v>
      </x:c>
    </x:row>
    <x:row r="126">
      <x:c r="A126" s="12" t="str">
        <x:v>CPF-QA-D03-BATOPS-017</x:v>
      </x:c>
      <x:c r="B126" s="12" t="str">
        <x:v>BATOPS</x:v>
      </x:c>
      <x:c r="C126" s="12" t="str">
        <x:v>WP05</x:v>
      </x:c>
      <x:c r="D126" s="12" t="str">
        <x:v>부분 구현</x:v>
      </x:c>
      <x:c r="E126" s="12" t="str">
        <x:v>P0</x:v>
      </x:c>
      <x:c r="F126" s="12" t="str">
        <x:v>Ghost RUNNING 탐지</x:v>
      </x:c>
      <x:c r="G126" s="12" t="str">
        <x:v>ADM Batch Control Console에서 **Ghost RUNNING 탐지** 기능을 제품 계약·기본 구현·실제 Consumer·운영 기능까지 연결한다. 단순 Interface, 화면 Route, Sample 문자열만으로 완료 처리하지 않는다.</x:v>
      </x:c>
      <x:c r="H126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26" s="12" t="str"/>
      <x:c r="J126" s="12" t="str">
        <x:v>WP03,WP04</x:v>
      </x:c>
      <x:c r="K126" s="12" t="str"/>
      <x:c r="L126" s="12" t="str">
        <x:v>WAS+MariaDB</x:v>
      </x:c>
    </x:row>
    <x:row r="127">
      <x:c r="A127" s="12" t="str">
        <x:v>CPF-QA-D03-BATOPS-018</x:v>
      </x:c>
      <x:c r="B127" s="12" t="str">
        <x:v>BATOPS</x:v>
      </x:c>
      <x:c r="C127" s="12" t="str">
        <x:v>WP05</x:v>
      </x:c>
      <x:c r="D127" s="12" t="str">
        <x:v>부분 구현</x:v>
      </x:c>
      <x:c r="E127" s="12" t="str">
        <x:v>P0</x:v>
      </x:c>
      <x:c r="F127" s="12" t="str">
        <x:v>Heartbeat 단절 Worker 탐지</x:v>
      </x:c>
      <x:c r="G127" s="12" t="str">
        <x:v>ADM Batch Control Console에서 **Heartbeat 단절 Worker 탐지** 기능을 제품 계약·기본 구현·실제 Consumer·운영 기능까지 연결한다. 단순 Interface, 화면 Route, Sample 문자열만으로 완료 처리하지 않는다.</x:v>
      </x:c>
      <x:c r="H127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27" s="12" t="str"/>
      <x:c r="J127" s="12" t="str">
        <x:v>WP03,WP04</x:v>
      </x:c>
      <x:c r="K127" s="12" t="str"/>
      <x:c r="L127" s="12" t="str">
        <x:v>WAS+MariaDB</x:v>
      </x:c>
    </x:row>
    <x:row r="128">
      <x:c r="A128" s="12" t="str">
        <x:v>CPF-QA-D03-BATOPS-019</x:v>
      </x:c>
      <x:c r="B128" s="12" t="str">
        <x:v>BATOPS</x:v>
      </x:c>
      <x:c r="C128" s="12" t="str">
        <x:v>WP05</x:v>
      </x:c>
      <x:c r="D128" s="12" t="str">
        <x:v>부분 구현</x:v>
      </x:c>
      <x:c r="E128" s="12" t="str">
        <x:v>P0</x:v>
      </x:c>
      <x:c r="F128" s="12" t="str">
        <x:v>만료 Lease·Lock 탐지</x:v>
      </x:c>
      <x:c r="G128" s="12" t="str">
        <x:v>ADM Batch Control Console에서 **만료 Lease·Lock 탐지** 기능을 제품 계약·기본 구현·실제 Consumer·운영 기능까지 연결한다. 단순 Interface, 화면 Route, Sample 문자열만으로 완료 처리하지 않는다.</x:v>
      </x:c>
      <x:c r="H128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28" s="12" t="str"/>
      <x:c r="J128" s="12" t="str">
        <x:v>WP03,WP04</x:v>
      </x:c>
      <x:c r="K128" s="12" t="str"/>
      <x:c r="L128" s="12" t="str">
        <x:v>WAS+MariaDB</x:v>
      </x:c>
    </x:row>
    <x:row r="129">
      <x:c r="A129" s="12" t="str">
        <x:v>CPF-QA-D03-BATOPS-020</x:v>
      </x:c>
      <x:c r="B129" s="12" t="str">
        <x:v>BATOPS</x:v>
      </x:c>
      <x:c r="C129" s="12" t="str">
        <x:v>WP05</x:v>
      </x:c>
      <x:c r="D129" s="12" t="str">
        <x:v>부분 구현</x:v>
      </x:c>
      <x:c r="E129" s="12" t="str">
        <x:v>P0</x:v>
      </x:c>
      <x:c r="F129" s="12" t="str">
        <x:v>존재하지 않는 Owner Instance 탐지</x:v>
      </x:c>
      <x:c r="G129" s="12" t="str">
        <x:v>ADM Batch Control Console에서 **존재하지 않는 Owner Instance 탐지** 기능을 제품 계약·기본 구현·실제 Consumer·운영 기능까지 연결한다. 단순 Interface, 화면 Route, Sample 문자열만으로 완료 처리하지 않는다.</x:v>
      </x:c>
      <x:c r="H129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29" s="12" t="str"/>
      <x:c r="J129" s="12" t="str">
        <x:v>WP03,WP04</x:v>
      </x:c>
      <x:c r="K129" s="12" t="str"/>
      <x:c r="L129" s="12" t="str">
        <x:v>WAS+MariaDB</x:v>
      </x:c>
    </x:row>
    <x:row r="130">
      <x:c r="A130" s="12" t="str">
        <x:v>CPF-QA-D03-BATOPS-021</x:v>
      </x:c>
      <x:c r="B130" s="12" t="str">
        <x:v>BATOPS</x:v>
      </x:c>
      <x:c r="C130" s="12" t="str">
        <x:v>WP05</x:v>
      </x:c>
      <x:c r="D130" s="12" t="str">
        <x:v>부분 구현</x:v>
      </x:c>
      <x:c r="E130" s="12" t="str">
        <x:v>P0</x:v>
      </x:c>
      <x:c r="F130" s="12" t="str">
        <x:v>Ghost 실행 실패/복구대기 전환</x:v>
      </x:c>
      <x:c r="G130" s="12" t="str">
        <x:v>ADM Batch Control Console에서 **Ghost 실행 실패/복구대기 전환** 기능을 제품 계약·기본 구현·실제 Consumer·운영 기능까지 연결한다. 단순 Interface, 화면 Route, Sample 문자열만으로 완료 처리하지 않는다.</x:v>
      </x:c>
      <x:c r="H130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30" s="12" t="str"/>
      <x:c r="J130" s="12" t="str">
        <x:v>WP03,WP04</x:v>
      </x:c>
      <x:c r="K130" s="12" t="str"/>
      <x:c r="L130" s="12" t="str">
        <x:v>WAS+MariaDB</x:v>
      </x:c>
    </x:row>
    <x:row r="131">
      <x:c r="A131" s="12" t="str">
        <x:v>CPF-QA-D03-BATOPS-022</x:v>
      </x:c>
      <x:c r="B131" s="12" t="str">
        <x:v>BATOPS</x:v>
      </x:c>
      <x:c r="C131" s="12" t="str">
        <x:v>WP05</x:v>
      </x:c>
      <x:c r="D131" s="12" t="str">
        <x:v>부분 구현</x:v>
      </x:c>
      <x:c r="E131" s="12" t="str">
        <x:v>P0</x:v>
      </x:c>
      <x:c r="F131" s="12" t="str">
        <x:v>미완료 Partition 재배정</x:v>
      </x:c>
      <x:c r="G131" s="12" t="str">
        <x:v>ADM Batch Control Console에서 **미완료 Partition 재배정** 기능을 제품 계약·기본 구현·실제 Consumer·운영 기능까지 연결한다. 단순 Interface, 화면 Route, Sample 문자열만으로 완료 처리하지 않는다.</x:v>
      </x:c>
      <x:c r="H131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31" s="12" t="str"/>
      <x:c r="J131" s="12" t="str">
        <x:v>WP03,WP04</x:v>
      </x:c>
      <x:c r="K131" s="12" t="str"/>
      <x:c r="L131" s="12" t="str">
        <x:v>WAS+MariaDB</x:v>
      </x:c>
    </x:row>
    <x:row r="132">
      <x:c r="A132" s="12" t="str">
        <x:v>CPF-QA-D03-BATOPS-023</x:v>
      </x:c>
      <x:c r="B132" s="12" t="str">
        <x:v>BATOPS</x:v>
      </x:c>
      <x:c r="C132" s="12" t="str">
        <x:v>WP05</x:v>
      </x:c>
      <x:c r="D132" s="12" t="str">
        <x:v>부분 구현</x:v>
      </x:c>
      <x:c r="E132" s="12" t="str">
        <x:v>P0</x:v>
      </x:c>
      <x:c r="F132" s="12" t="str">
        <x:v>Scheduler Enable·Disable</x:v>
      </x:c>
      <x:c r="G132" s="12" t="str">
        <x:v>ADM Batch Control Console에서 **Scheduler Enable·Disable** 기능을 제품 계약·기본 구현·실제 Consumer·운영 기능까지 연결한다. 단순 Interface, 화면 Route, Sample 문자열만으로 완료 처리하지 않는다.</x:v>
      </x:c>
      <x:c r="H132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32" s="12" t="str"/>
      <x:c r="J132" s="12" t="str">
        <x:v>WP03,WP04</x:v>
      </x:c>
      <x:c r="K132" s="12" t="str"/>
      <x:c r="L132" s="12" t="str">
        <x:v>WAS+MariaDB</x:v>
      </x:c>
    </x:row>
    <x:row r="133">
      <x:c r="A133" s="12" t="str">
        <x:v>CPF-QA-D03-BATOPS-024</x:v>
      </x:c>
      <x:c r="B133" s="12" t="str">
        <x:v>BATOPS</x:v>
      </x:c>
      <x:c r="C133" s="12" t="str">
        <x:v>WP05</x:v>
      </x:c>
      <x:c r="D133" s="12" t="str">
        <x:v>부분 구현</x:v>
      </x:c>
      <x:c r="E133" s="12" t="str">
        <x:v>P0</x:v>
      </x:c>
      <x:c r="F133" s="12" t="str">
        <x:v>업무그룹·인스턴스 실행 차단</x:v>
      </x:c>
      <x:c r="G133" s="12" t="str">
        <x:v>ADM Batch Control Console에서 **업무그룹·인스턴스 실행 차단** 기능을 제품 계약·기본 구현·실제 Consumer·운영 기능까지 연결한다. 단순 Interface, 화면 Route, Sample 문자열만으로 완료 처리하지 않는다.</x:v>
      </x:c>
      <x:c r="H133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33" s="12" t="str"/>
      <x:c r="J133" s="12" t="str">
        <x:v>WP03,WP04</x:v>
      </x:c>
      <x:c r="K133" s="12" t="str"/>
      <x:c r="L133" s="12" t="str">
        <x:v>WAS+MariaDB</x:v>
      </x:c>
    </x:row>
    <x:row r="134">
      <x:c r="A134" s="12" t="str">
        <x:v>CPF-QA-D03-BATOPS-025</x:v>
      </x:c>
      <x:c r="B134" s="12" t="str">
        <x:v>BATOPS</x:v>
      </x:c>
      <x:c r="C134" s="12" t="str">
        <x:v>WP05</x:v>
      </x:c>
      <x:c r="D134" s="12" t="str">
        <x:v>부분 구현</x:v>
      </x:c>
      <x:c r="E134" s="12" t="str">
        <x:v>P0</x:v>
      </x:c>
      <x:c r="F134" s="12" t="str">
        <x:v>Center-Cut 중지·재개·재분배</x:v>
      </x:c>
      <x:c r="G134" s="12" t="str">
        <x:v>ADM Batch Control Console에서 **Center-Cut 중지·재개·재분배** 기능을 제품 계약·기본 구현·실제 Consumer·운영 기능까지 연결한다. 단순 Interface, 화면 Route, Sample 문자열만으로 완료 처리하지 않는다.</x:v>
      </x:c>
      <x:c r="H134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34" s="12" t="str"/>
      <x:c r="J134" s="12" t="str">
        <x:v>WP03,WP04</x:v>
      </x:c>
      <x:c r="K134" s="12" t="str"/>
      <x:c r="L134" s="12" t="str">
        <x:v>WAS+MariaDB</x:v>
      </x:c>
    </x:row>
    <x:row r="135">
      <x:c r="A135" s="12" t="str">
        <x:v>CPF-QA-D03-BATOPS-026</x:v>
      </x:c>
      <x:c r="B135" s="12" t="str">
        <x:v>BATOPS</x:v>
      </x:c>
      <x:c r="C135" s="12" t="str">
        <x:v>WP05</x:v>
      </x:c>
      <x:c r="D135" s="12" t="str">
        <x:v>부분 구현</x:v>
      </x:c>
      <x:c r="E135" s="12" t="str">
        <x:v>P0</x:v>
      </x:c>
      <x:c r="F135" s="12" t="str">
        <x:v>On-Demand 승인·취소</x:v>
      </x:c>
      <x:c r="G135" s="12" t="str">
        <x:v>ADM Batch Control Console에서 **On-Demand 승인·취소** 기능을 제품 계약·기본 구현·실제 Consumer·운영 기능까지 연결한다. 단순 Interface, 화면 Route, Sample 문자열만으로 완료 처리하지 않는다.</x:v>
      </x:c>
      <x:c r="H135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35" s="12" t="str"/>
      <x:c r="J135" s="12" t="str">
        <x:v>WP03,WP04</x:v>
      </x:c>
      <x:c r="K135" s="12" t="str"/>
      <x:c r="L135" s="12" t="str">
        <x:v>WAS+MariaDB</x:v>
      </x:c>
    </x:row>
    <x:row r="136">
      <x:c r="A136" s="12" t="str">
        <x:v>CPF-QA-D03-BATOPS-027</x:v>
      </x:c>
      <x:c r="B136" s="12" t="str">
        <x:v>BATOPS</x:v>
      </x:c>
      <x:c r="C136" s="12" t="str">
        <x:v>WP05</x:v>
      </x:c>
      <x:c r="D136" s="12" t="str">
        <x:v>부분 구현</x:v>
      </x:c>
      <x:c r="E136" s="12" t="str">
        <x:v>P0</x:v>
      </x:c>
      <x:c r="F136" s="12" t="str">
        <x:v>Worker 격리·복귀·Drain</x:v>
      </x:c>
      <x:c r="G136" s="12" t="str">
        <x:v>ADM Batch Control Console에서 **Worker 격리·복귀·Drain** 기능을 제품 계약·기본 구현·실제 Consumer·운영 기능까지 연결한다. 단순 Interface, 화면 Route, Sample 문자열만으로 완료 처리하지 않는다.</x:v>
      </x:c>
      <x:c r="H136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36" s="12" t="str"/>
      <x:c r="J136" s="12" t="str">
        <x:v>WP03,WP04</x:v>
      </x:c>
      <x:c r="K136" s="12" t="str"/>
      <x:c r="L136" s="12" t="str">
        <x:v>WAS+MariaDB</x:v>
      </x:c>
    </x:row>
    <x:row r="137">
      <x:c r="A137" s="12" t="str">
        <x:v>CPF-QA-D03-BATOPS-028</x:v>
      </x:c>
      <x:c r="B137" s="12" t="str">
        <x:v>BATOPS</x:v>
      </x:c>
      <x:c r="C137" s="12" t="str">
        <x:v>WP05</x:v>
      </x:c>
      <x:c r="D137" s="12" t="str">
        <x:v>부분 구현</x:v>
      </x:c>
      <x:c r="E137" s="12" t="str">
        <x:v>P0</x:v>
      </x:c>
      <x:c r="F137" s="12" t="str">
        <x:v>실행 우선순위 변경</x:v>
      </x:c>
      <x:c r="G137" s="12" t="str">
        <x:v>ADM Batch Control Console에서 **실행 우선순위 변경** 기능을 제품 계약·기본 구현·실제 Consumer·운영 기능까지 연결한다. 단순 Interface, 화면 Route, Sample 문자열만으로 완료 처리하지 않는다.</x:v>
      </x:c>
      <x:c r="H137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37" s="12" t="str"/>
      <x:c r="J137" s="12" t="str">
        <x:v>WP03,WP04</x:v>
      </x:c>
      <x:c r="K137" s="12" t="str"/>
      <x:c r="L137" s="12" t="str">
        <x:v>WAS+MariaDB</x:v>
      </x:c>
    </x:row>
    <x:row r="138">
      <x:c r="A138" s="12" t="str">
        <x:v>CPF-QA-D03-BATOPS-029</x:v>
      </x:c>
      <x:c r="B138" s="12" t="str">
        <x:v>BATOPS</x:v>
      </x:c>
      <x:c r="C138" s="12" t="str">
        <x:v>WP05</x:v>
      </x:c>
      <x:c r="D138" s="12" t="str">
        <x:v>부분 구현</x:v>
      </x:c>
      <x:c r="E138" s="12" t="str">
        <x:v>P0</x:v>
      </x:c>
      <x:c r="F138" s="12" t="str">
        <x:v>동시 실행 수 변경</x:v>
      </x:c>
      <x:c r="G138" s="12" t="str">
        <x:v>ADM Batch Control Console에서 **동시 실행 수 변경** 기능을 제품 계약·기본 구현·실제 Consumer·운영 기능까지 연결한다. 단순 Interface, 화면 Route, Sample 문자열만으로 완료 처리하지 않는다.</x:v>
      </x:c>
      <x:c r="H138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38" s="12" t="str"/>
      <x:c r="J138" s="12" t="str">
        <x:v>WP03,WP04</x:v>
      </x:c>
      <x:c r="K138" s="12" t="str"/>
      <x:c r="L138" s="12" t="str">
        <x:v>WAS+MariaDB</x:v>
      </x:c>
    </x:row>
    <x:row r="139">
      <x:c r="A139" s="12" t="str">
        <x:v>CPF-QA-D03-BATOPS-030</x:v>
      </x:c>
      <x:c r="B139" s="12" t="str">
        <x:v>BATOPS</x:v>
      </x:c>
      <x:c r="C139" s="12" t="str">
        <x:v>WP05</x:v>
      </x:c>
      <x:c r="D139" s="12" t="str">
        <x:v>부분 구현</x:v>
      </x:c>
      <x:c r="E139" s="12" t="str">
        <x:v>P0</x:v>
      </x:c>
      <x:c r="F139" s="12" t="str">
        <x:v>오류 건 Skip·Retry·보류</x:v>
      </x:c>
      <x:c r="G139" s="12" t="str">
        <x:v>ADM Batch Control Console에서 **오류 건 Skip·Retry·보류** 기능을 제품 계약·기본 구현·실제 Consumer·운영 기능까지 연결한다. 단순 Interface, 화면 Route, Sample 문자열만으로 완료 처리하지 않는다.</x:v>
      </x:c>
      <x:c r="H139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39" s="12" t="str"/>
      <x:c r="J139" s="12" t="str">
        <x:v>WP03,WP04</x:v>
      </x:c>
      <x:c r="K139" s="12" t="str"/>
      <x:c r="L139" s="12" t="str">
        <x:v>WAS+MariaDB</x:v>
      </x:c>
    </x:row>
    <x:row r="140">
      <x:c r="A140" s="12" t="str">
        <x:v>CPF-QA-D03-BATOPS-031</x:v>
      </x:c>
      <x:c r="B140" s="12" t="str">
        <x:v>BATOPS</x:v>
      </x:c>
      <x:c r="C140" s="12" t="str">
        <x:v>WP05</x:v>
      </x:c>
      <x:c r="D140" s="12" t="str">
        <x:v>부분 구현</x:v>
      </x:c>
      <x:c r="E140" s="12" t="str">
        <x:v>P0</x:v>
      </x:c>
      <x:c r="F140" s="12" t="str">
        <x:v>Checkpoint 지정 재시작</x:v>
      </x:c>
      <x:c r="G140" s="12" t="str">
        <x:v>ADM Batch Control Console에서 **Checkpoint 지정 재시작** 기능을 제품 계약·기본 구현·실제 Consumer·운영 기능까지 연결한다. 단순 Interface, 화면 Route, Sample 문자열만으로 완료 처리하지 않는다.</x:v>
      </x:c>
      <x:c r="H140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40" s="12" t="str"/>
      <x:c r="J140" s="12" t="str">
        <x:v>WP03,WP04</x:v>
      </x:c>
      <x:c r="K140" s="12" t="str"/>
      <x:c r="L140" s="12" t="str">
        <x:v>WAS+MariaDB</x:v>
      </x:c>
    </x:row>
    <x:row r="141">
      <x:c r="A141" s="12" t="str">
        <x:v>CPF-QA-D03-BATOPS-032</x:v>
      </x:c>
      <x:c r="B141" s="12" t="str">
        <x:v>BATOPS</x:v>
      </x:c>
      <x:c r="C141" s="12" t="str">
        <x:v>WP05</x:v>
      </x:c>
      <x:c r="D141" s="12" t="str">
        <x:v>부분 구현</x:v>
      </x:c>
      <x:c r="E141" s="12" t="str">
        <x:v>P0</x:v>
      </x:c>
      <x:c r="F141" s="12" t="str">
        <x:v>Unknown Result 상태 확정</x:v>
      </x:c>
      <x:c r="G141" s="12" t="str">
        <x:v>ADM Batch Control Console에서 **Unknown Result 상태 확정** 기능을 제품 계약·기본 구현·실제 Consumer·운영 기능까지 연결한다. 단순 Interface, 화면 Route, Sample 문자열만으로 완료 처리하지 않는다.</x:v>
      </x:c>
      <x:c r="H141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41" s="12" t="str"/>
      <x:c r="J141" s="12" t="str">
        <x:v>WP03,WP04</x:v>
      </x:c>
      <x:c r="K141" s="12" t="str"/>
      <x:c r="L141" s="12" t="str">
        <x:v>WAS+MariaDB</x:v>
      </x:c>
    </x:row>
    <x:row r="142">
      <x:c r="A142" s="12" t="str">
        <x:v>CPF-QA-D03-BATOPS-033</x:v>
      </x:c>
      <x:c r="B142" s="12" t="str">
        <x:v>BATOPS</x:v>
      </x:c>
      <x:c r="C142" s="12" t="str">
        <x:v>WP05</x:v>
      </x:c>
      <x:c r="D142" s="12" t="str">
        <x:v>부분 구현</x:v>
      </x:c>
      <x:c r="E142" s="12" t="str">
        <x:v>P0</x:v>
      </x:c>
      <x:c r="F142" s="12" t="str">
        <x:v>운영 명령 영향 Preview</x:v>
      </x:c>
      <x:c r="G142" s="12" t="str">
        <x:v>ADM Batch Control Console에서 **운영 명령 영향 Preview** 기능을 제품 계약·기본 구현·실제 Consumer·운영 기능까지 연결한다. 단순 Interface, 화면 Route, Sample 문자열만으로 완료 처리하지 않는다.</x:v>
      </x:c>
      <x:c r="H142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42" s="12" t="str"/>
      <x:c r="J142" s="12" t="str">
        <x:v>WP03,WP04</x:v>
      </x:c>
      <x:c r="K142" s="12" t="str"/>
      <x:c r="L142" s="12" t="str">
        <x:v>WAS+MariaDB</x:v>
      </x:c>
    </x:row>
    <x:row r="143">
      <x:c r="A143" s="12" t="str">
        <x:v>CPF-QA-D03-BATOPS-034</x:v>
      </x:c>
      <x:c r="B143" s="12" t="str">
        <x:v>BATOPS</x:v>
      </x:c>
      <x:c r="C143" s="12" t="str">
        <x:v>WP05</x:v>
      </x:c>
      <x:c r="D143" s="12" t="str">
        <x:v>부분 구현</x:v>
      </x:c>
      <x:c r="E143" s="12" t="str">
        <x:v>P0</x:v>
      </x:c>
      <x:c r="F143" s="12" t="str">
        <x:v>위험 조치 사유·승인</x:v>
      </x:c>
      <x:c r="G143" s="12" t="str">
        <x:v>ADM Batch Control Console에서 **위험 조치 사유·승인** 기능을 제품 계약·기본 구현·실제 Consumer·운영 기능까지 연결한다. 단순 Interface, 화면 Route, Sample 문자열만으로 완료 처리하지 않는다.</x:v>
      </x:c>
      <x:c r="H143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43" s="12" t="str"/>
      <x:c r="J143" s="12" t="str">
        <x:v>WP03,WP04</x:v>
      </x:c>
      <x:c r="K143" s="12" t="str"/>
      <x:c r="L143" s="12" t="str">
        <x:v>WAS+MariaDB</x:v>
      </x:c>
    </x:row>
    <x:row r="144">
      <x:c r="A144" s="12" t="str">
        <x:v>CPF-QA-D03-BATOPS-035</x:v>
      </x:c>
      <x:c r="B144" s="12" t="str">
        <x:v>BATOPS</x:v>
      </x:c>
      <x:c r="C144" s="12" t="str">
        <x:v>WP05</x:v>
      </x:c>
      <x:c r="D144" s="12" t="str">
        <x:v>부분 구현</x:v>
      </x:c>
      <x:c r="E144" s="12" t="str">
        <x:v>P0</x:v>
      </x:c>
      <x:c r="F144" s="12" t="str">
        <x:v>CAS·Version·Fencing 동시 보호</x:v>
      </x:c>
      <x:c r="G144" s="12" t="str">
        <x:v>ADM Batch Control Console에서 **CAS·Version·Fencing 동시 보호** 기능을 제품 계약·기본 구현·실제 Consumer·운영 기능까지 연결한다. 단순 Interface, 화면 Route, Sample 문자열만으로 완료 처리하지 않는다.</x:v>
      </x:c>
      <x:c r="H144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44" s="12" t="str"/>
      <x:c r="J144" s="12" t="str">
        <x:v>WP03,WP04</x:v>
      </x:c>
      <x:c r="K144" s="12" t="str"/>
      <x:c r="L144" s="12" t="str">
        <x:v>WAS+MariaDB</x:v>
      </x:c>
    </x:row>
    <x:row r="145">
      <x:c r="A145" s="12" t="str">
        <x:v>CPF-QA-D03-BATOPS-036</x:v>
      </x:c>
      <x:c r="B145" s="12" t="str">
        <x:v>BATOPS</x:v>
      </x:c>
      <x:c r="C145" s="12" t="str">
        <x:v>WP05</x:v>
      </x:c>
      <x:c r="D145" s="12" t="str">
        <x:v>부분 구현</x:v>
      </x:c>
      <x:c r="E145" s="12" t="str">
        <x:v>P0</x:v>
      </x:c>
      <x:c r="F145" s="12" t="str">
        <x:v>명령 결과·변경 전후 감사</x:v>
      </x:c>
      <x:c r="G145" s="12" t="str">
        <x:v>ADM Batch Control Console에서 **명령 결과·변경 전후 감사** 기능을 제품 계약·기본 구현·실제 Consumer·운영 기능까지 연결한다. 단순 Interface, 화면 Route, Sample 문자열만으로 완료 처리하지 않는다.</x:v>
      </x:c>
      <x:c r="H145" s="12" t="str">
        <x:v>2개 이상 Scheduler/Worker/Runner/Agent와 MariaDB를 사용해 정상·오류·경계·부분 실패·재시도/복구·권한·감사·다중 인스턴스 영향까지 자동 Test와 최신 SHA Evidence로 검증한다.</x:v>
      </x:c>
      <x:c r="I145" s="12" t="str"/>
      <x:c r="J145" s="12" t="str">
        <x:v>WP03,WP04</x:v>
      </x:c>
      <x:c r="K145" s="12" t="str"/>
      <x:c r="L145" s="12" t="str">
        <x:v>WAS+MariaDB</x:v>
      </x:c>
    </x:row>
    <x:row r="146">
      <x:c r="A146" s="12" t="str">
        <x:v>CPF-QA-D03-BATEDU-001</x:v>
      </x:c>
      <x:c r="B146" s="12" t="str">
        <x:v>BATEDU</x:v>
      </x:c>
      <x:c r="C146" s="12" t="str">
        <x:v>WP06</x:v>
      </x:c>
      <x:c r="D146" s="12" t="str">
        <x:v>부분 구현</x:v>
      </x:c>
      <x:c r="E146" s="12" t="str">
        <x:v>P1</x:v>
      </x:c>
      <x:c r="F146" s="12" t="str">
        <x:v>10만 건 DB Cursor Chunk 처리 예제</x:v>
      </x:c>
      <x:c r="G146" s="12" t="str">
        <x:v>cpf-reference의 Batch 세부 그룹에 실행 가능한 **10만 건 DB Cursor Chunk 처리 예제** 기능을 제품 계약·기본 구현·실제 Consumer·운영 기능까지 연결한다. 단순 Interface, 화면 Route, Sample 문자열만으로 완료 처리하지 않는다.</x:v>
      </x:c>
      <x:c r="H146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46" s="12" t="str"/>
      <x:c r="J146" s="12" t="str">
        <x:v>WP03,WP04,WP05</x:v>
      </x:c>
      <x:c r="K146" s="12" t="str"/>
      <x:c r="L146" s="12" t="str">
        <x:v>MariaDB/Simulator</x:v>
      </x:c>
    </x:row>
    <x:row r="147">
      <x:c r="A147" s="12" t="str">
        <x:v>CPF-QA-D03-BATEDU-002</x:v>
      </x:c>
      <x:c r="B147" s="12" t="str">
        <x:v>BATEDU</x:v>
      </x:c>
      <x:c r="C147" s="12" t="str">
        <x:v>WP06</x:v>
      </x:c>
      <x:c r="D147" s="12" t="str">
        <x:v>부분 구현</x:v>
      </x:c>
      <x:c r="E147" s="12" t="str">
        <x:v>P1</x:v>
      </x:c>
      <x:c r="F147" s="12" t="str">
        <x:v>10만 건 DB Paging 처리 예제</x:v>
      </x:c>
      <x:c r="G147" s="12" t="str">
        <x:v>cpf-reference의 Batch 세부 그룹에 실행 가능한 **10만 건 DB Paging 처리 예제** 기능을 제품 계약·기본 구현·실제 Consumer·운영 기능까지 연결한다. 단순 Interface, 화면 Route, Sample 문자열만으로 완료 처리하지 않는다.</x:v>
      </x:c>
      <x:c r="H147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47" s="12" t="str"/>
      <x:c r="J147" s="12" t="str">
        <x:v>WP03,WP04,WP05</x:v>
      </x:c>
      <x:c r="K147" s="12" t="str"/>
      <x:c r="L147" s="12" t="str">
        <x:v>MariaDB/Simulator</x:v>
      </x:c>
    </x:row>
    <x:row r="148">
      <x:c r="A148" s="12" t="str">
        <x:v>CPF-QA-D03-BATEDU-003</x:v>
      </x:c>
      <x:c r="B148" s="12" t="str">
        <x:v>BATEDU</x:v>
      </x:c>
      <x:c r="C148" s="12" t="str">
        <x:v>WP06</x:v>
      </x:c>
      <x:c r="D148" s="12" t="str">
        <x:v>부분 구현</x:v>
      </x:c>
      <x:c r="E148" s="12" t="str">
        <x:v>P1</x:v>
      </x:c>
      <x:c r="F148" s="12" t="str">
        <x:v>10만 건 Keyset/Cursor 처리 예제</x:v>
      </x:c>
      <x:c r="G148" s="12" t="str">
        <x:v>cpf-reference의 Batch 세부 그룹에 실행 가능한 **10만 건 Keyset/Cursor 처리 예제** 기능을 제품 계약·기본 구현·실제 Consumer·운영 기능까지 연결한다. 단순 Interface, 화면 Route, Sample 문자열만으로 완료 처리하지 않는다.</x:v>
      </x:c>
      <x:c r="H148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48" s="12" t="str"/>
      <x:c r="J148" s="12" t="str">
        <x:v>WP03,WP04,WP05</x:v>
      </x:c>
      <x:c r="K148" s="12" t="str"/>
      <x:c r="L148" s="12" t="str">
        <x:v>MariaDB/Simulator</x:v>
      </x:c>
    </x:row>
    <x:row r="149">
      <x:c r="A149" s="12" t="str">
        <x:v>CPF-QA-D03-BATEDU-004</x:v>
      </x:c>
      <x:c r="B149" s="12" t="str">
        <x:v>BATEDU</x:v>
      </x:c>
      <x:c r="C149" s="12" t="str">
        <x:v>WP06</x:v>
      </x:c>
      <x:c r="D149" s="12" t="str">
        <x:v>부분 구현</x:v>
      </x:c>
      <x:c r="E149" s="12" t="str">
        <x:v>P1</x:v>
      </x:c>
      <x:c r="F149" s="12" t="str">
        <x:v>Bulk Insert 예제</x:v>
      </x:c>
      <x:c r="G149" s="12" t="str">
        <x:v>cpf-reference의 Batch 세부 그룹에 실행 가능한 **Bulk Insert 예제** 기능을 제품 계약·기본 구현·실제 Consumer·운영 기능까지 연결한다. 단순 Interface, 화면 Route, Sample 문자열만으로 완료 처리하지 않는다.</x:v>
      </x:c>
      <x:c r="H149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49" s="12" t="str"/>
      <x:c r="J149" s="12" t="str">
        <x:v>WP03,WP04,WP05</x:v>
      </x:c>
      <x:c r="K149" s="12" t="str"/>
      <x:c r="L149" s="12" t="str">
        <x:v>MariaDB/Simulator</x:v>
      </x:c>
    </x:row>
    <x:row r="150">
      <x:c r="A150" s="12" t="str">
        <x:v>CPF-QA-D03-BATEDU-005</x:v>
      </x:c>
      <x:c r="B150" s="12" t="str">
        <x:v>BATEDU</x:v>
      </x:c>
      <x:c r="C150" s="12" t="str">
        <x:v>WP06</x:v>
      </x:c>
      <x:c r="D150" s="12" t="str">
        <x:v>부분 구현</x:v>
      </x:c>
      <x:c r="E150" s="12" t="str">
        <x:v>P1</x:v>
      </x:c>
      <x:c r="F150" s="12" t="str">
        <x:v>Bulk Update 예제</x:v>
      </x:c>
      <x:c r="G150" s="12" t="str">
        <x:v>cpf-reference의 Batch 세부 그룹에 실행 가능한 **Bulk Update 예제** 기능을 제품 계약·기본 구현·실제 Consumer·운영 기능까지 연결한다. 단순 Interface, 화면 Route, Sample 문자열만으로 완료 처리하지 않는다.</x:v>
      </x:c>
      <x:c r="H150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50" s="12" t="str"/>
      <x:c r="J150" s="12" t="str">
        <x:v>WP03,WP04,WP05</x:v>
      </x:c>
      <x:c r="K150" s="12" t="str"/>
      <x:c r="L150" s="12" t="str">
        <x:v>MariaDB/Simulator</x:v>
      </x:c>
    </x:row>
    <x:row r="151">
      <x:c r="A151" s="12" t="str">
        <x:v>CPF-QA-D03-BATEDU-006</x:v>
      </x:c>
      <x:c r="B151" s="12" t="str">
        <x:v>BATEDU</x:v>
      </x:c>
      <x:c r="C151" s="12" t="str">
        <x:v>WP06</x:v>
      </x:c>
      <x:c r="D151" s="12" t="str">
        <x:v>부분 구현</x:v>
      </x:c>
      <x:c r="E151" s="12" t="str">
        <x:v>P1</x:v>
      </x:c>
      <x:c r="F151" s="12" t="str">
        <x:v>Upsert 예제</x:v>
      </x:c>
      <x:c r="G151" s="12" t="str">
        <x:v>cpf-reference의 Batch 세부 그룹에 실행 가능한 **Upsert 예제** 기능을 제품 계약·기본 구현·실제 Consumer·운영 기능까지 연결한다. 단순 Interface, 화면 Route, Sample 문자열만으로 완료 처리하지 않는다.</x:v>
      </x:c>
      <x:c r="H151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51" s="12" t="str"/>
      <x:c r="J151" s="12" t="str">
        <x:v>WP03,WP04,WP05</x:v>
      </x:c>
      <x:c r="K151" s="12" t="str"/>
      <x:c r="L151" s="12" t="str">
        <x:v>MariaDB/Simulator</x:v>
      </x:c>
    </x:row>
    <x:row r="152">
      <x:c r="A152" s="12" t="str">
        <x:v>CPF-QA-D03-BATEDU-007</x:v>
      </x:c>
      <x:c r="B152" s="12" t="str">
        <x:v>BATEDU</x:v>
      </x:c>
      <x:c r="C152" s="12" t="str">
        <x:v>WP06</x:v>
      </x:c>
      <x:c r="D152" s="12" t="str">
        <x:v>부분 구현</x:v>
      </x:c>
      <x:c r="E152" s="12" t="str">
        <x:v>P1</x:v>
      </x:c>
      <x:c r="F152" s="12" t="str">
        <x:v>건별 Handler 예제</x:v>
      </x:c>
      <x:c r="G152" s="12" t="str">
        <x:v>cpf-reference의 Batch 세부 그룹에 실행 가능한 **건별 Handler 예제** 기능을 제품 계약·기본 구현·실제 Consumer·운영 기능까지 연결한다. 단순 Interface, 화면 Route, Sample 문자열만으로 완료 처리하지 않는다.</x:v>
      </x:c>
      <x:c r="H152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52" s="12" t="str"/>
      <x:c r="J152" s="12" t="str">
        <x:v>WP03,WP04,WP05</x:v>
      </x:c>
      <x:c r="K152" s="12" t="str"/>
      <x:c r="L152" s="12" t="str">
        <x:v>MariaDB/Simulator</x:v>
      </x:c>
    </x:row>
    <x:row r="153">
      <x:c r="A153" s="12" t="str">
        <x:v>CPF-QA-D03-BATEDU-008</x:v>
      </x:c>
      <x:c r="B153" s="12" t="str">
        <x:v>BATEDU</x:v>
      </x:c>
      <x:c r="C153" s="12" t="str">
        <x:v>WP06</x:v>
      </x:c>
      <x:c r="D153" s="12" t="str">
        <x:v>부분 구현</x:v>
      </x:c>
      <x:c r="E153" s="12" t="str">
        <x:v>P1</x:v>
      </x:c>
      <x:c r="F153" s="12" t="str">
        <x:v>Chunk Handler 예제</x:v>
      </x:c>
      <x:c r="G153" s="12" t="str">
        <x:v>cpf-reference의 Batch 세부 그룹에 실행 가능한 **Chunk Handler 예제** 기능을 제품 계약·기본 구현·실제 Consumer·운영 기능까지 연결한다. 단순 Interface, 화면 Route, Sample 문자열만으로 완료 처리하지 않는다.</x:v>
      </x:c>
      <x:c r="H153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53" s="12" t="str"/>
      <x:c r="J153" s="12" t="str">
        <x:v>WP03,WP04,WP05</x:v>
      </x:c>
      <x:c r="K153" s="12" t="str"/>
      <x:c r="L153" s="12" t="str">
        <x:v>MariaDB/Simulator</x:v>
      </x:c>
    </x:row>
    <x:row r="154">
      <x:c r="A154" s="12" t="str">
        <x:v>CPF-QA-D03-BATEDU-009</x:v>
      </x:c>
      <x:c r="B154" s="12" t="str">
        <x:v>BATEDU</x:v>
      </x:c>
      <x:c r="C154" s="12" t="str">
        <x:v>WP06</x:v>
      </x:c>
      <x:c r="D154" s="12" t="str">
        <x:v>부분 구현</x:v>
      </x:c>
      <x:c r="E154" s="12" t="str">
        <x:v>P1</x:v>
      </x:c>
      <x:c r="F154" s="12" t="str">
        <x:v>Handler Chain 예제</x:v>
      </x:c>
      <x:c r="G154" s="12" t="str">
        <x:v>cpf-reference의 Batch 세부 그룹에 실행 가능한 **Handler Chain 예제** 기능을 제품 계약·기본 구현·실제 Consumer·운영 기능까지 연결한다. 단순 Interface, 화면 Route, Sample 문자열만으로 완료 처리하지 않는다.</x:v>
      </x:c>
      <x:c r="H154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54" s="12" t="str"/>
      <x:c r="J154" s="12" t="str">
        <x:v>WP03,WP04,WP05</x:v>
      </x:c>
      <x:c r="K154" s="12" t="str"/>
      <x:c r="L154" s="12" t="str">
        <x:v>MariaDB/Simulator</x:v>
      </x:c>
    </x:row>
    <x:row r="155">
      <x:c r="A155" s="12" t="str">
        <x:v>CPF-QA-D03-BATEDU-010</x:v>
      </x:c>
      <x:c r="B155" s="12" t="str">
        <x:v>BATEDU</x:v>
      </x:c>
      <x:c r="C155" s="12" t="str">
        <x:v>WP06</x:v>
      </x:c>
      <x:c r="D155" s="12" t="str">
        <x:v>부분 구현</x:v>
      </x:c>
      <x:c r="E155" s="12" t="str">
        <x:v>P1</x:v>
      </x:c>
      <x:c r="F155" s="12" t="str">
        <x:v>검증→변환→저장 Pipeline 예제</x:v>
      </x:c>
      <x:c r="G155" s="12" t="str">
        <x:v>cpf-reference의 Batch 세부 그룹에 실행 가능한 **검증→변환→저장 Pipeline 예제** 기능을 제품 계약·기본 구현·실제 Consumer·운영 기능까지 연결한다. 단순 Interface, 화면 Route, Sample 문자열만으로 완료 처리하지 않는다.</x:v>
      </x:c>
      <x:c r="H155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55" s="12" t="str"/>
      <x:c r="J155" s="12" t="str">
        <x:v>WP03,WP04,WP05</x:v>
      </x:c>
      <x:c r="K155" s="12" t="str"/>
      <x:c r="L155" s="12" t="str">
        <x:v>MariaDB/Simulator</x:v>
      </x:c>
    </x:row>
    <x:row r="156">
      <x:c r="A156" s="12" t="str">
        <x:v>CPF-QA-D03-BATEDU-011</x:v>
      </x:c>
      <x:c r="B156" s="12" t="str">
        <x:v>BATEDU</x:v>
      </x:c>
      <x:c r="C156" s="12" t="str">
        <x:v>WP06</x:v>
      </x:c>
      <x:c r="D156" s="12" t="str">
        <x:v>부분 구현</x:v>
      </x:c>
      <x:c r="E156" s="12" t="str">
        <x:v>P1</x:v>
      </x:c>
      <x:c r="F156" s="12" t="str">
        <x:v>조건 분기 Handler 예제</x:v>
      </x:c>
      <x:c r="G156" s="12" t="str">
        <x:v>cpf-reference의 Batch 세부 그룹에 실행 가능한 **조건 분기 Handler 예제** 기능을 제품 계약·기본 구현·실제 Consumer·운영 기능까지 연결한다. 단순 Interface, 화면 Route, Sample 문자열만으로 완료 처리하지 않는다.</x:v>
      </x:c>
      <x:c r="H156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56" s="12" t="str"/>
      <x:c r="J156" s="12" t="str">
        <x:v>WP03,WP04,WP05</x:v>
      </x:c>
      <x:c r="K156" s="12" t="str"/>
      <x:c r="L156" s="12" t="str">
        <x:v>MariaDB/Simulator</x:v>
      </x:c>
    </x:row>
    <x:row r="157">
      <x:c r="A157" s="12" t="str">
        <x:v>CPF-QA-D03-BATEDU-012</x:v>
      </x:c>
      <x:c r="B157" s="12" t="str">
        <x:v>BATEDU</x:v>
      </x:c>
      <x:c r="C157" s="12" t="str">
        <x:v>WP06</x:v>
      </x:c>
      <x:c r="D157" s="12" t="str">
        <x:v>부분 구현</x:v>
      </x:c>
      <x:c r="E157" s="12" t="str">
        <x:v>P1</x:v>
      </x:c>
      <x:c r="F157" s="12" t="str">
        <x:v>다중 Partition 예제</x:v>
      </x:c>
      <x:c r="G157" s="12" t="str">
        <x:v>cpf-reference의 Batch 세부 그룹에 실행 가능한 **다중 Partition 예제** 기능을 제품 계약·기본 구현·실제 Consumer·운영 기능까지 연결한다. 단순 Interface, 화면 Route, Sample 문자열만으로 완료 처리하지 않는다.</x:v>
      </x:c>
      <x:c r="H157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57" s="12" t="str"/>
      <x:c r="J157" s="12" t="str">
        <x:v>WP03,WP04,WP05</x:v>
      </x:c>
      <x:c r="K157" s="12" t="str"/>
      <x:c r="L157" s="12" t="str">
        <x:v>MariaDB/Simulator</x:v>
      </x:c>
    </x:row>
    <x:row r="158">
      <x:c r="A158" s="12" t="str">
        <x:v>CPF-QA-D03-BATEDU-013</x:v>
      </x:c>
      <x:c r="B158" s="12" t="str">
        <x:v>BATEDU</x:v>
      </x:c>
      <x:c r="C158" s="12" t="str">
        <x:v>WP06</x:v>
      </x:c>
      <x:c r="D158" s="12" t="str">
        <x:v>부분 구현</x:v>
      </x:c>
      <x:c r="E158" s="12" t="str">
        <x:v>P1</x:v>
      </x:c>
      <x:c r="F158" s="12" t="str">
        <x:v>Multi-thread Worker 예제</x:v>
      </x:c>
      <x:c r="G158" s="12" t="str">
        <x:v>cpf-reference의 Batch 세부 그룹에 실행 가능한 **Multi-thread Worker 예제** 기능을 제품 계약·기본 구현·실제 Consumer·운영 기능까지 연결한다. 단순 Interface, 화면 Route, Sample 문자열만으로 완료 처리하지 않는다.</x:v>
      </x:c>
      <x:c r="H158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58" s="12" t="str"/>
      <x:c r="J158" s="12" t="str">
        <x:v>WP03,WP04,WP05</x:v>
      </x:c>
      <x:c r="K158" s="12" t="str"/>
      <x:c r="L158" s="12" t="str">
        <x:v>MariaDB/Simulator</x:v>
      </x:c>
    </x:row>
    <x:row r="159">
      <x:c r="A159" s="12" t="str">
        <x:v>CPF-QA-D03-BATEDU-014</x:v>
      </x:c>
      <x:c r="B159" s="12" t="str">
        <x:v>BATEDU</x:v>
      </x:c>
      <x:c r="C159" s="12" t="str">
        <x:v>WP06</x:v>
      </x:c>
      <x:c r="D159" s="12" t="str">
        <x:v>부분 구현</x:v>
      </x:c>
      <x:c r="E159" s="12" t="str">
        <x:v>P1</x:v>
      </x:c>
      <x:c r="F159" s="12" t="str">
        <x:v>다중 Instance Worker 분배 예제</x:v>
      </x:c>
      <x:c r="G159" s="12" t="str">
        <x:v>cpf-reference의 Batch 세부 그룹에 실행 가능한 **다중 Instance Worker 분배 예제** 기능을 제품 계약·기본 구현·실제 Consumer·운영 기능까지 연결한다. 단순 Interface, 화면 Route, Sample 문자열만으로 완료 처리하지 않는다.</x:v>
      </x:c>
      <x:c r="H159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59" s="12" t="str"/>
      <x:c r="J159" s="12" t="str">
        <x:v>WP03,WP04,WP05</x:v>
      </x:c>
      <x:c r="K159" s="12" t="str"/>
      <x:c r="L159" s="12" t="str">
        <x:v>MariaDB/Simulator</x:v>
      </x:c>
    </x:row>
    <x:row r="160">
      <x:c r="A160" s="12" t="str">
        <x:v>CPF-QA-D03-BATEDU-015</x:v>
      </x:c>
      <x:c r="B160" s="12" t="str">
        <x:v>BATEDU</x:v>
      </x:c>
      <x:c r="C160" s="12" t="str">
        <x:v>WP06</x:v>
      </x:c>
      <x:c r="D160" s="12" t="str">
        <x:v>부분 구현</x:v>
      </x:c>
      <x:c r="E160" s="12" t="str">
        <x:v>P1</x:v>
      </x:c>
      <x:c r="F160" s="12" t="str">
        <x:v>Worker 장애 인계 예제</x:v>
      </x:c>
      <x:c r="G160" s="12" t="str">
        <x:v>cpf-reference의 Batch 세부 그룹에 실행 가능한 **Worker 장애 인계 예제** 기능을 제품 계약·기본 구현·실제 Consumer·운영 기능까지 연결한다. 단순 Interface, 화면 Route, Sample 문자열만으로 완료 처리하지 않는다.</x:v>
      </x:c>
      <x:c r="H160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60" s="12" t="str"/>
      <x:c r="J160" s="12" t="str">
        <x:v>WP03,WP04,WP05</x:v>
      </x:c>
      <x:c r="K160" s="12" t="str"/>
      <x:c r="L160" s="12" t="str">
        <x:v>MariaDB/Simulator</x:v>
      </x:c>
    </x:row>
    <x:row r="161">
      <x:c r="A161" s="12" t="str">
        <x:v>CPF-QA-D03-BATEDU-016</x:v>
      </x:c>
      <x:c r="B161" s="12" t="str">
        <x:v>BATEDU</x:v>
      </x:c>
      <x:c r="C161" s="12" t="str">
        <x:v>WP06</x:v>
      </x:c>
      <x:c r="D161" s="12" t="str">
        <x:v>부분 구현</x:v>
      </x:c>
      <x:c r="E161" s="12" t="str">
        <x:v>P1</x:v>
      </x:c>
      <x:c r="F161" s="12" t="str">
        <x:v>37번째 Chunk 장애 후 재시작 예제</x:v>
      </x:c>
      <x:c r="G161" s="12" t="str">
        <x:v>cpf-reference의 Batch 세부 그룹에 실행 가능한 **37번째 Chunk 장애 후 재시작 예제** 기능을 제품 계약·기본 구현·실제 Consumer·운영 기능까지 연결한다. 단순 Interface, 화면 Route, Sample 문자열만으로 완료 처리하지 않는다.</x:v>
      </x:c>
      <x:c r="H161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61" s="12" t="str"/>
      <x:c r="J161" s="12" t="str">
        <x:v>WP03,WP04,WP05</x:v>
      </x:c>
      <x:c r="K161" s="12" t="str"/>
      <x:c r="L161" s="12" t="str">
        <x:v>MariaDB/Simulator</x:v>
      </x:c>
    </x:row>
    <x:row r="162">
      <x:c r="A162" s="12" t="str">
        <x:v>CPF-QA-D03-BATEDU-017</x:v>
      </x:c>
      <x:c r="B162" s="12" t="str">
        <x:v>BATEDU</x:v>
      </x:c>
      <x:c r="C162" s="12" t="str">
        <x:v>WP06</x:v>
      </x:c>
      <x:c r="D162" s="12" t="str">
        <x:v>부분 구현</x:v>
      </x:c>
      <x:c r="E162" s="12" t="str">
        <x:v>P1</x:v>
      </x:c>
      <x:c r="F162" s="12" t="str">
        <x:v>Skip 한도 초과 예제</x:v>
      </x:c>
      <x:c r="G162" s="12" t="str">
        <x:v>cpf-reference의 Batch 세부 그룹에 실행 가능한 **Skip 한도 초과 예제** 기능을 제품 계약·기본 구현·실제 Consumer·운영 기능까지 연결한다. 단순 Interface, 화면 Route, Sample 문자열만으로 완료 처리하지 않는다.</x:v>
      </x:c>
      <x:c r="H162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62" s="12" t="str"/>
      <x:c r="J162" s="12" t="str">
        <x:v>WP03,WP04,WP05</x:v>
      </x:c>
      <x:c r="K162" s="12" t="str"/>
      <x:c r="L162" s="12" t="str">
        <x:v>MariaDB/Simulator</x:v>
      </x:c>
    </x:row>
    <x:row r="163">
      <x:c r="A163" s="12" t="str">
        <x:v>CPF-QA-D03-BATEDU-018</x:v>
      </x:c>
      <x:c r="B163" s="12" t="str">
        <x:v>BATEDU</x:v>
      </x:c>
      <x:c r="C163" s="12" t="str">
        <x:v>WP06</x:v>
      </x:c>
      <x:c r="D163" s="12" t="str">
        <x:v>부분 구현</x:v>
      </x:c>
      <x:c r="E163" s="12" t="str">
        <x:v>P1</x:v>
      </x:c>
      <x:c r="F163" s="12" t="str">
        <x:v>Retry 소진 예제</x:v>
      </x:c>
      <x:c r="G163" s="12" t="str">
        <x:v>cpf-reference의 Batch 세부 그룹에 실행 가능한 **Retry 소진 예제** 기능을 제품 계약·기본 구현·실제 Consumer·운영 기능까지 연결한다. 단순 Interface, 화면 Route, Sample 문자열만으로 완료 처리하지 않는다.</x:v>
      </x:c>
      <x:c r="H163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63" s="12" t="str"/>
      <x:c r="J163" s="12" t="str">
        <x:v>WP03,WP04,WP05</x:v>
      </x:c>
      <x:c r="K163" s="12" t="str"/>
      <x:c r="L163" s="12" t="str">
        <x:v>MariaDB/Simulator</x:v>
      </x:c>
    </x:row>
    <x:row r="164">
      <x:c r="A164" s="12" t="str">
        <x:v>CPF-QA-D03-BATEDU-019</x:v>
      </x:c>
      <x:c r="B164" s="12" t="str">
        <x:v>BATEDU</x:v>
      </x:c>
      <x:c r="C164" s="12" t="str">
        <x:v>WP06</x:v>
      </x:c>
      <x:c r="D164" s="12" t="str">
        <x:v>부분 구현</x:v>
      </x:c>
      <x:c r="E164" s="12" t="str">
        <x:v>P1</x:v>
      </x:c>
      <x:c r="F164" s="12" t="str">
        <x:v>오류 건 Reject 저장 예제</x:v>
      </x:c>
      <x:c r="G164" s="12" t="str">
        <x:v>cpf-reference의 Batch 세부 그룹에 실행 가능한 **오류 건 Reject 저장 예제** 기능을 제품 계약·기본 구현·실제 Consumer·운영 기능까지 연결한다. 단순 Interface, 화면 Route, Sample 문자열만으로 완료 처리하지 않는다.</x:v>
      </x:c>
      <x:c r="H164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64" s="12" t="str"/>
      <x:c r="J164" s="12" t="str">
        <x:v>WP03,WP04,WP05</x:v>
      </x:c>
      <x:c r="K164" s="12" t="str"/>
      <x:c r="L164" s="12" t="str">
        <x:v>MariaDB/Simulator</x:v>
      </x:c>
    </x:row>
    <x:row r="165">
      <x:c r="A165" s="12" t="str">
        <x:v>CPF-QA-D03-BATEDU-020</x:v>
      </x:c>
      <x:c r="B165" s="12" t="str">
        <x:v>BATEDU</x:v>
      </x:c>
      <x:c r="C165" s="12" t="str">
        <x:v>WP06</x:v>
      </x:c>
      <x:c r="D165" s="12" t="str">
        <x:v>부분 구현</x:v>
      </x:c>
      <x:c r="E165" s="12" t="str">
        <x:v>P1</x:v>
      </x:c>
      <x:c r="F165" s="12" t="str">
        <x:v>특정 실패 건 재처리 예제</x:v>
      </x:c>
      <x:c r="G165" s="12" t="str">
        <x:v>cpf-reference의 Batch 세부 그룹에 실행 가능한 **특정 실패 건 재처리 예제** 기능을 제품 계약·기본 구현·실제 Consumer·운영 기능까지 연결한다. 단순 Interface, 화면 Route, Sample 문자열만으로 완료 처리하지 않는다.</x:v>
      </x:c>
      <x:c r="H165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65" s="12" t="str"/>
      <x:c r="J165" s="12" t="str">
        <x:v>WP03,WP04,WP05</x:v>
      </x:c>
      <x:c r="K165" s="12" t="str"/>
      <x:c r="L165" s="12" t="str">
        <x:v>MariaDB/Simulator</x:v>
      </x:c>
    </x:row>
    <x:row r="166">
      <x:c r="A166" s="12" t="str">
        <x:v>CPF-QA-D03-BATEDU-021</x:v>
      </x:c>
      <x:c r="B166" s="12" t="str">
        <x:v>BATEDU</x:v>
      </x:c>
      <x:c r="C166" s="12" t="str">
        <x:v>WP06</x:v>
      </x:c>
      <x:c r="D166" s="12" t="str">
        <x:v>부분 구현</x:v>
      </x:c>
      <x:c r="E166" s="12" t="str">
        <x:v>P1</x:v>
      </x:c>
      <x:c r="F166" s="12" t="str">
        <x:v>CSV Streaming Reader 예제</x:v>
      </x:c>
      <x:c r="G166" s="12" t="str">
        <x:v>cpf-reference의 Batch 세부 그룹에 실행 가능한 **CSV Streaming Reader 예제** 기능을 제품 계약·기본 구현·실제 Consumer·운영 기능까지 연결한다. 단순 Interface, 화면 Route, Sample 문자열만으로 완료 처리하지 않는다.</x:v>
      </x:c>
      <x:c r="H166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66" s="12" t="str"/>
      <x:c r="J166" s="12" t="str">
        <x:v>WP03,WP04,WP05</x:v>
      </x:c>
      <x:c r="K166" s="12" t="str"/>
      <x:c r="L166" s="12" t="str">
        <x:v>MariaDB/Simulator</x:v>
      </x:c>
    </x:row>
    <x:row r="167">
      <x:c r="A167" s="12" t="str">
        <x:v>CPF-QA-D03-BATEDU-022</x:v>
      </x:c>
      <x:c r="B167" s="12" t="str">
        <x:v>BATEDU</x:v>
      </x:c>
      <x:c r="C167" s="12" t="str">
        <x:v>WP06</x:v>
      </x:c>
      <x:c r="D167" s="12" t="str">
        <x:v>부분 구현</x:v>
      </x:c>
      <x:c r="E167" s="12" t="str">
        <x:v>P1</x:v>
      </x:c>
      <x:c r="F167" s="12" t="str">
        <x:v>고정길이 파일 Reader 예제</x:v>
      </x:c>
      <x:c r="G167" s="12" t="str">
        <x:v>cpf-reference의 Batch 세부 그룹에 실행 가능한 **고정길이 파일 Reader 예제** 기능을 제품 계약·기본 구현·실제 Consumer·운영 기능까지 연결한다. 단순 Interface, 화면 Route, Sample 문자열만으로 완료 처리하지 않는다.</x:v>
      </x:c>
      <x:c r="H167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67" s="12" t="str"/>
      <x:c r="J167" s="12" t="str">
        <x:v>WP03,WP04,WP05</x:v>
      </x:c>
      <x:c r="K167" s="12" t="str"/>
      <x:c r="L167" s="12" t="str">
        <x:v>MariaDB/Simulator</x:v>
      </x:c>
    </x:row>
    <x:row r="168">
      <x:c r="A168" s="12" t="str">
        <x:v>CPF-QA-D03-BATEDU-023</x:v>
      </x:c>
      <x:c r="B168" s="12" t="str">
        <x:v>BATEDU</x:v>
      </x:c>
      <x:c r="C168" s="12" t="str">
        <x:v>WP06</x:v>
      </x:c>
      <x:c r="D168" s="12" t="str">
        <x:v>부분 구현</x:v>
      </x:c>
      <x:c r="E168" s="12" t="str">
        <x:v>P1</x:v>
      </x:c>
      <x:c r="F168" s="12" t="str">
        <x:v>JSON Lines Reader 예제</x:v>
      </x:c>
      <x:c r="G168" s="12" t="str">
        <x:v>cpf-reference의 Batch 세부 그룹에 실행 가능한 **JSON Lines Reader 예제** 기능을 제품 계약·기본 구현·실제 Consumer·운영 기능까지 연결한다. 단순 Interface, 화면 Route, Sample 문자열만으로 완료 처리하지 않는다.</x:v>
      </x:c>
      <x:c r="H168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68" s="12" t="str"/>
      <x:c r="J168" s="12" t="str">
        <x:v>WP03,WP04,WP05</x:v>
      </x:c>
      <x:c r="K168" s="12" t="str"/>
      <x:c r="L168" s="12" t="str">
        <x:v>MariaDB/Simulator</x:v>
      </x:c>
    </x:row>
    <x:row r="169">
      <x:c r="A169" s="12" t="str">
        <x:v>CPF-QA-D03-BATEDU-024</x:v>
      </x:c>
      <x:c r="B169" s="12" t="str">
        <x:v>BATEDU</x:v>
      </x:c>
      <x:c r="C169" s="12" t="str">
        <x:v>WP06</x:v>
      </x:c>
      <x:c r="D169" s="12" t="str">
        <x:v>부분 구현</x:v>
      </x:c>
      <x:c r="E169" s="12" t="str">
        <x:v>P1</x:v>
      </x:c>
      <x:c r="F169" s="12" t="str">
        <x:v>XML Streaming Reader 예제</x:v>
      </x:c>
      <x:c r="G169" s="12" t="str">
        <x:v>cpf-reference의 Batch 세부 그룹에 실행 가능한 **XML Streaming Reader 예제** 기능을 제품 계약·기본 구현·실제 Consumer·운영 기능까지 연결한다. 단순 Interface, 화면 Route, Sample 문자열만으로 완료 처리하지 않는다.</x:v>
      </x:c>
      <x:c r="H169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69" s="12" t="str"/>
      <x:c r="J169" s="12" t="str">
        <x:v>WP03,WP04,WP05</x:v>
      </x:c>
      <x:c r="K169" s="12" t="str"/>
      <x:c r="L169" s="12" t="str">
        <x:v>MariaDB/Simulator</x:v>
      </x:c>
    </x:row>
    <x:row r="170">
      <x:c r="A170" s="12" t="str">
        <x:v>CPF-QA-D03-BATEDU-025</x:v>
      </x:c>
      <x:c r="B170" s="12" t="str">
        <x:v>BATEDU</x:v>
      </x:c>
      <x:c r="C170" s="12" t="str">
        <x:v>WP06</x:v>
      </x:c>
      <x:c r="D170" s="12" t="str">
        <x:v>부분 구현</x:v>
      </x:c>
      <x:c r="E170" s="12" t="str">
        <x:v>P1</x:v>
      </x:c>
      <x:c r="F170" s="12" t="str">
        <x:v>Header·Detail·Trailer 파일 예제</x:v>
      </x:c>
      <x:c r="G170" s="12" t="str">
        <x:v>cpf-reference의 Batch 세부 그룹에 실행 가능한 **Header·Detail·Trailer 파일 예제** 기능을 제품 계약·기본 구현·실제 Consumer·운영 기능까지 연결한다. 단순 Interface, 화면 Route, Sample 문자열만으로 완료 처리하지 않는다.</x:v>
      </x:c>
      <x:c r="H170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70" s="12" t="str"/>
      <x:c r="J170" s="12" t="str">
        <x:v>WP03,WP04,WP05</x:v>
      </x:c>
      <x:c r="K170" s="12" t="str"/>
      <x:c r="L170" s="12" t="str">
        <x:v>MariaDB/Simulator</x:v>
      </x:c>
    </x:row>
    <x:row r="171">
      <x:c r="A171" s="12" t="str">
        <x:v>CPF-QA-D03-BATEDU-026</x:v>
      </x:c>
      <x:c r="B171" s="12" t="str">
        <x:v>BATEDU</x:v>
      </x:c>
      <x:c r="C171" s="12" t="str">
        <x:v>WP06</x:v>
      </x:c>
      <x:c r="D171" s="12" t="str">
        <x:v>부분 구현</x:v>
      </x:c>
      <x:c r="E171" s="12" t="str">
        <x:v>P1</x:v>
      </x:c>
      <x:c r="F171" s="12" t="str">
        <x:v>여러 파일 순차 처리 예제</x:v>
      </x:c>
      <x:c r="G171" s="12" t="str">
        <x:v>cpf-reference의 Batch 세부 그룹에 실행 가능한 **여러 파일 순차 처리 예제** 기능을 제품 계약·기본 구현·실제 Consumer·운영 기능까지 연결한다. 단순 Interface, 화면 Route, Sample 문자열만으로 완료 처리하지 않는다.</x:v>
      </x:c>
      <x:c r="H171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71" s="12" t="str"/>
      <x:c r="J171" s="12" t="str">
        <x:v>WP03,WP04,WP05</x:v>
      </x:c>
      <x:c r="K171" s="12" t="str"/>
      <x:c r="L171" s="12" t="str">
        <x:v>MariaDB/Simulator</x:v>
      </x:c>
    </x:row>
    <x:row r="172">
      <x:c r="A172" s="12" t="str">
        <x:v>CPF-QA-D03-BATEDU-027</x:v>
      </x:c>
      <x:c r="B172" s="12" t="str">
        <x:v>BATEDU</x:v>
      </x:c>
      <x:c r="C172" s="12" t="str">
        <x:v>WP06</x:v>
      </x:c>
      <x:c r="D172" s="12" t="str">
        <x:v>부분 구현</x:v>
      </x:c>
      <x:c r="E172" s="12" t="str">
        <x:v>P1</x:v>
      </x:c>
      <x:c r="F172" s="12" t="str">
        <x:v>여러 파일 병렬 처리 예제</x:v>
      </x:c>
      <x:c r="G172" s="12" t="str">
        <x:v>cpf-reference의 Batch 세부 그룹에 실행 가능한 **여러 파일 병렬 처리 예제** 기능을 제품 계약·기본 구현·실제 Consumer·운영 기능까지 연결한다. 단순 Interface, 화면 Route, Sample 문자열만으로 완료 처리하지 않는다.</x:v>
      </x:c>
      <x:c r="H172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72" s="12" t="str"/>
      <x:c r="J172" s="12" t="str">
        <x:v>WP03,WP04,WP05</x:v>
      </x:c>
      <x:c r="K172" s="12" t="str"/>
      <x:c r="L172" s="12" t="str">
        <x:v>MariaDB/Simulator</x:v>
      </x:c>
    </x:row>
    <x:row r="173">
      <x:c r="A173" s="12" t="str">
        <x:v>CPF-QA-D03-BATEDU-028</x:v>
      </x:c>
      <x:c r="B173" s="12" t="str">
        <x:v>BATEDU</x:v>
      </x:c>
      <x:c r="C173" s="12" t="str">
        <x:v>WP06</x:v>
      </x:c>
      <x:c r="D173" s="12" t="str">
        <x:v>부분 구현</x:v>
      </x:c>
      <x:c r="E173" s="12" t="str">
        <x:v>P1</x:v>
      </x:c>
      <x:c r="F173" s="12" t="str">
        <x:v>파일 병합 예제</x:v>
      </x:c>
      <x:c r="G173" s="12" t="str">
        <x:v>cpf-reference의 Batch 세부 그룹에 실행 가능한 **파일 병합 예제** 기능을 제품 계약·기본 구현·실제 Consumer·운영 기능까지 연결한다. 단순 Interface, 화면 Route, Sample 문자열만으로 완료 처리하지 않는다.</x:v>
      </x:c>
      <x:c r="H173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73" s="12" t="str"/>
      <x:c r="J173" s="12" t="str">
        <x:v>WP03,WP04,WP05</x:v>
      </x:c>
      <x:c r="K173" s="12" t="str"/>
      <x:c r="L173" s="12" t="str">
        <x:v>MariaDB/Simulator</x:v>
      </x:c>
    </x:row>
    <x:row r="174">
      <x:c r="A174" s="12" t="str">
        <x:v>CPF-QA-D03-BATEDU-029</x:v>
      </x:c>
      <x:c r="B174" s="12" t="str">
        <x:v>BATEDU</x:v>
      </x:c>
      <x:c r="C174" s="12" t="str">
        <x:v>WP06</x:v>
      </x:c>
      <x:c r="D174" s="12" t="str">
        <x:v>부분 구현</x:v>
      </x:c>
      <x:c r="E174" s="12" t="str">
        <x:v>P1</x:v>
      </x:c>
      <x:c r="F174" s="12" t="str">
        <x:v>파일 분할 예제</x:v>
      </x:c>
      <x:c r="G174" s="12" t="str">
        <x:v>cpf-reference의 Batch 세부 그룹에 실행 가능한 **파일 분할 예제** 기능을 제품 계약·기본 구현·실제 Consumer·운영 기능까지 연결한다. 단순 Interface, 화면 Route, Sample 문자열만으로 완료 처리하지 않는다.</x:v>
      </x:c>
      <x:c r="H174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74" s="12" t="str"/>
      <x:c r="J174" s="12" t="str">
        <x:v>WP03,WP04,WP05</x:v>
      </x:c>
      <x:c r="K174" s="12" t="str"/>
      <x:c r="L174" s="12" t="str">
        <x:v>MariaDB/Simulator</x:v>
      </x:c>
    </x:row>
    <x:row r="175">
      <x:c r="A175" s="12" t="str">
        <x:v>CPF-QA-D03-BATEDU-030</x:v>
      </x:c>
      <x:c r="B175" s="12" t="str">
        <x:v>BATEDU</x:v>
      </x:c>
      <x:c r="C175" s="12" t="str">
        <x:v>WP06</x:v>
      </x:c>
      <x:c r="D175" s="12" t="str">
        <x:v>부분 구현</x:v>
      </x:c>
      <x:c r="E175" s="12" t="str">
        <x:v>P1</x:v>
      </x:c>
      <x:c r="F175" s="12" t="str">
        <x:v>파일→DB 적재 예제</x:v>
      </x:c>
      <x:c r="G175" s="12" t="str">
        <x:v>cpf-reference의 Batch 세부 그룹에 실행 가능한 **파일→DB 적재 예제** 기능을 제품 계약·기본 구현·실제 Consumer·운영 기능까지 연결한다. 단순 Interface, 화면 Route, Sample 문자열만으로 완료 처리하지 않는다.</x:v>
      </x:c>
      <x:c r="H175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75" s="12" t="str"/>
      <x:c r="J175" s="12" t="str">
        <x:v>WP03,WP04,WP05</x:v>
      </x:c>
      <x:c r="K175" s="12" t="str"/>
      <x:c r="L175" s="12" t="str">
        <x:v>MariaDB/Simulator</x:v>
      </x:c>
    </x:row>
    <x:row r="176">
      <x:c r="A176" s="12" t="str">
        <x:v>CPF-QA-D03-BATEDU-031</x:v>
      </x:c>
      <x:c r="B176" s="12" t="str">
        <x:v>BATEDU</x:v>
      </x:c>
      <x:c r="C176" s="12" t="str">
        <x:v>WP06</x:v>
      </x:c>
      <x:c r="D176" s="12" t="str">
        <x:v>부분 구현</x:v>
      </x:c>
      <x:c r="E176" s="12" t="str">
        <x:v>P1</x:v>
      </x:c>
      <x:c r="F176" s="12" t="str">
        <x:v>DB→파일 생성 예제</x:v>
      </x:c>
      <x:c r="G176" s="12" t="str">
        <x:v>cpf-reference의 Batch 세부 그룹에 실행 가능한 **DB→파일 생성 예제** 기능을 제품 계약·기본 구현·실제 Consumer·운영 기능까지 연결한다. 단순 Interface, 화면 Route, Sample 문자열만으로 완료 처리하지 않는다.</x:v>
      </x:c>
      <x:c r="H176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76" s="12" t="str"/>
      <x:c r="J176" s="12" t="str">
        <x:v>WP03,WP04,WP05</x:v>
      </x:c>
      <x:c r="K176" s="12" t="str"/>
      <x:c r="L176" s="12" t="str">
        <x:v>MariaDB/Simulator</x:v>
      </x:c>
    </x:row>
    <x:row r="177">
      <x:c r="A177" s="12" t="str">
        <x:v>CPF-QA-D03-BATEDU-032</x:v>
      </x:c>
      <x:c r="B177" s="12" t="str">
        <x:v>BATEDU</x:v>
      </x:c>
      <x:c r="C177" s="12" t="str">
        <x:v>WP06</x:v>
      </x:c>
      <x:c r="D177" s="12" t="str">
        <x:v>부분 구현</x:v>
      </x:c>
      <x:c r="E177" s="12" t="str">
        <x:v>P1</x:v>
      </x:c>
      <x:c r="F177" s="12" t="str">
        <x:v>파일→Kafka Simulator 예제</x:v>
      </x:c>
      <x:c r="G177" s="12" t="str">
        <x:v>cpf-reference의 Batch 세부 그룹에 실행 가능한 **파일→Kafka Simulator 예제** 기능을 제품 계약·기본 구현·실제 Consumer·운영 기능까지 연결한다. 단순 Interface, 화면 Route, Sample 문자열만으로 완료 처리하지 않는다.</x:v>
      </x:c>
      <x:c r="H177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77" s="12" t="str"/>
      <x:c r="J177" s="12" t="str">
        <x:v>WP03,WP04,WP05</x:v>
      </x:c>
      <x:c r="K177" s="12" t="str"/>
      <x:c r="L177" s="12" t="str">
        <x:v>MariaDB/Simulator</x:v>
      </x:c>
    </x:row>
    <x:row r="178">
      <x:c r="A178" s="12" t="str">
        <x:v>CPF-QA-D03-BATEDU-033</x:v>
      </x:c>
      <x:c r="B178" s="12" t="str">
        <x:v>BATEDU</x:v>
      </x:c>
      <x:c r="C178" s="12" t="str">
        <x:v>WP06</x:v>
      </x:c>
      <x:c r="D178" s="12" t="str">
        <x:v>부분 구현</x:v>
      </x:c>
      <x:c r="E178" s="12" t="str">
        <x:v>P1</x:v>
      </x:c>
      <x:c r="F178" s="12" t="str">
        <x:v>파일→TCP Simulator 예제</x:v>
      </x:c>
      <x:c r="G178" s="12" t="str">
        <x:v>cpf-reference의 Batch 세부 그룹에 실행 가능한 **파일→TCP Simulator 예제** 기능을 제품 계약·기본 구현·실제 Consumer·운영 기능까지 연결한다. 단순 Interface, 화면 Route, Sample 문자열만으로 완료 처리하지 않는다.</x:v>
      </x:c>
      <x:c r="H178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78" s="12" t="str"/>
      <x:c r="J178" s="12" t="str">
        <x:v>WP03,WP04,WP05</x:v>
      </x:c>
      <x:c r="K178" s="12" t="str"/>
      <x:c r="L178" s="12" t="str">
        <x:v>MariaDB/Simulator</x:v>
      </x:c>
    </x:row>
    <x:row r="179">
      <x:c r="A179" s="12" t="str">
        <x:v>CPF-QA-D03-BATEDU-034</x:v>
      </x:c>
      <x:c r="B179" s="12" t="str">
        <x:v>BATEDU</x:v>
      </x:c>
      <x:c r="C179" s="12" t="str">
        <x:v>WP06</x:v>
      </x:c>
      <x:c r="D179" s="12" t="str">
        <x:v>부분 구현</x:v>
      </x:c>
      <x:c r="E179" s="12" t="str">
        <x:v>P1</x:v>
      </x:c>
      <x:c r="F179" s="12" t="str">
        <x:v>SFTP 다운로드 Simulator 예제</x:v>
      </x:c>
      <x:c r="G179" s="12" t="str">
        <x:v>cpf-reference의 Batch 세부 그룹에 실행 가능한 **SFTP 다운로드 Simulator 예제** 기능을 제품 계약·기본 구현·실제 Consumer·운영 기능까지 연결한다. 단순 Interface, 화면 Route, Sample 문자열만으로 완료 처리하지 않는다.</x:v>
      </x:c>
      <x:c r="H179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79" s="12" t="str"/>
      <x:c r="J179" s="12" t="str">
        <x:v>WP03,WP04,WP05</x:v>
      </x:c>
      <x:c r="K179" s="12" t="str"/>
      <x:c r="L179" s="12" t="str">
        <x:v>MariaDB/Simulator</x:v>
      </x:c>
    </x:row>
    <x:row r="180">
      <x:c r="A180" s="12" t="str">
        <x:v>CPF-QA-D03-BATEDU-035</x:v>
      </x:c>
      <x:c r="B180" s="12" t="str">
        <x:v>BATEDU</x:v>
      </x:c>
      <x:c r="C180" s="12" t="str">
        <x:v>WP06</x:v>
      </x:c>
      <x:c r="D180" s="12" t="str">
        <x:v>부분 구현</x:v>
      </x:c>
      <x:c r="E180" s="12" t="str">
        <x:v>P1</x:v>
      </x:c>
      <x:c r="F180" s="12" t="str">
        <x:v>Atomic Rename 수신완료 예제</x:v>
      </x:c>
      <x:c r="G180" s="12" t="str">
        <x:v>cpf-reference의 Batch 세부 그룹에 실행 가능한 **Atomic Rename 수신완료 예제** 기능을 제품 계약·기본 구현·실제 Consumer·운영 기능까지 연결한다. 단순 Interface, 화면 Route, Sample 문자열만으로 완료 처리하지 않는다.</x:v>
      </x:c>
      <x:c r="H180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80" s="12" t="str"/>
      <x:c r="J180" s="12" t="str">
        <x:v>WP03,WP04,WP05</x:v>
      </x:c>
      <x:c r="K180" s="12" t="str"/>
      <x:c r="L180" s="12" t="str">
        <x:v>MariaDB/Simulator</x:v>
      </x:c>
    </x:row>
    <x:row r="181">
      <x:c r="A181" s="12" t="str">
        <x:v>CPF-QA-D03-BATEDU-036</x:v>
      </x:c>
      <x:c r="B181" s="12" t="str">
        <x:v>BATEDU</x:v>
      </x:c>
      <x:c r="C181" s="12" t="str">
        <x:v>WP06</x:v>
      </x:c>
      <x:c r="D181" s="12" t="str">
        <x:v>부분 구현</x:v>
      </x:c>
      <x:c r="E181" s="12" t="str">
        <x:v>P1</x:v>
      </x:c>
      <x:c r="F181" s="12" t="str">
        <x:v>Checksum 검증 예제</x:v>
      </x:c>
      <x:c r="G181" s="12" t="str">
        <x:v>cpf-reference의 Batch 세부 그룹에 실행 가능한 **Checksum 검증 예제** 기능을 제품 계약·기본 구현·실제 Consumer·운영 기능까지 연결한다. 단순 Interface, 화면 Route, Sample 문자열만으로 완료 처리하지 않는다.</x:v>
      </x:c>
      <x:c r="H181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81" s="12" t="str"/>
      <x:c r="J181" s="12" t="str">
        <x:v>WP03,WP04,WP05</x:v>
      </x:c>
      <x:c r="K181" s="12" t="str"/>
      <x:c r="L181" s="12" t="str">
        <x:v>MariaDB/Simulator</x:v>
      </x:c>
    </x:row>
    <x:row r="182">
      <x:c r="A182" s="12" t="str">
        <x:v>CPF-QA-D03-BATEDU-037</x:v>
      </x:c>
      <x:c r="B182" s="12" t="str">
        <x:v>BATEDU</x:v>
      </x:c>
      <x:c r="C182" s="12" t="str">
        <x:v>WP06</x:v>
      </x:c>
      <x:c r="D182" s="12" t="str">
        <x:v>부분 구현</x:v>
      </x:c>
      <x:c r="E182" s="12" t="str">
        <x:v>P1</x:v>
      </x:c>
      <x:c r="F182" s="12" t="str">
        <x:v>압축·암호화·PGP 예제</x:v>
      </x:c>
      <x:c r="G182" s="12" t="str">
        <x:v>cpf-reference의 Batch 세부 그룹에 실행 가능한 **압축·암호화·PGP 예제** 기능을 제품 계약·기본 구현·실제 Consumer·운영 기능까지 연결한다. 단순 Interface, 화면 Route, Sample 문자열만으로 완료 처리하지 않는다.</x:v>
      </x:c>
      <x:c r="H182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82" s="12" t="str"/>
      <x:c r="J182" s="12" t="str">
        <x:v>WP03,WP04,WP05</x:v>
      </x:c>
      <x:c r="K182" s="12" t="str"/>
      <x:c r="L182" s="12" t="str">
        <x:v>MariaDB/Simulator</x:v>
      </x:c>
    </x:row>
    <x:row r="183">
      <x:c r="A183" s="12" t="str">
        <x:v>CPF-QA-D03-BATEDU-038</x:v>
      </x:c>
      <x:c r="B183" s="12" t="str">
        <x:v>BATEDU</x:v>
      </x:c>
      <x:c r="C183" s="12" t="str">
        <x:v>WP06</x:v>
      </x:c>
      <x:c r="D183" s="12" t="str">
        <x:v>부분 구현</x:v>
      </x:c>
      <x:c r="E183" s="12" t="str">
        <x:v>P1</x:v>
      </x:c>
      <x:c r="F183" s="12" t="str">
        <x:v>중단 지점 Resume 예제</x:v>
      </x:c>
      <x:c r="G183" s="12" t="str">
        <x:v>cpf-reference의 Batch 세부 그룹에 실행 가능한 **중단 지점 Resume 예제** 기능을 제품 계약·기본 구현·실제 Consumer·운영 기능까지 연결한다. 단순 Interface, 화면 Route, Sample 문자열만으로 완료 처리하지 않는다.</x:v>
      </x:c>
      <x:c r="H183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83" s="12" t="str"/>
      <x:c r="J183" s="12" t="str">
        <x:v>WP03,WP04,WP05</x:v>
      </x:c>
      <x:c r="K183" s="12" t="str"/>
      <x:c r="L183" s="12" t="str">
        <x:v>MariaDB/Simulator</x:v>
      </x:c>
    </x:row>
    <x:row r="184">
      <x:c r="A184" s="12" t="str">
        <x:v>CPF-QA-D03-BATEDU-039</x:v>
      </x:c>
      <x:c r="B184" s="12" t="str">
        <x:v>BATEDU</x:v>
      </x:c>
      <x:c r="C184" s="12" t="str">
        <x:v>WP06</x:v>
      </x:c>
      <x:c r="D184" s="12" t="str">
        <x:v>부분 구현</x:v>
      </x:c>
      <x:c r="E184" s="12" t="str">
        <x:v>P1</x:v>
      </x:c>
      <x:c r="F184" s="12" t="str">
        <x:v>중복 파일·재수신 멱등 예제</x:v>
      </x:c>
      <x:c r="G184" s="12" t="str">
        <x:v>cpf-reference의 Batch 세부 그룹에 실행 가능한 **중복 파일·재수신 멱등 예제** 기능을 제품 계약·기본 구현·실제 Consumer·운영 기능까지 연결한다. 단순 Interface, 화면 Route, Sample 문자열만으로 완료 처리하지 않는다.</x:v>
      </x:c>
      <x:c r="H184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84" s="12" t="str"/>
      <x:c r="J184" s="12" t="str">
        <x:v>WP03,WP04,WP05</x:v>
      </x:c>
      <x:c r="K184" s="12" t="str"/>
      <x:c r="L184" s="12" t="str">
        <x:v>MariaDB/Simulator</x:v>
      </x:c>
    </x:row>
    <x:row r="185">
      <x:c r="A185" s="12" t="str">
        <x:v>CPF-QA-D03-BATEDU-040</x:v>
      </x:c>
      <x:c r="B185" s="12" t="str">
        <x:v>BATEDU</x:v>
      </x:c>
      <x:c r="C185" s="12" t="str">
        <x:v>WP06</x:v>
      </x:c>
      <x:c r="D185" s="12" t="str">
        <x:v>부분 구현</x:v>
      </x:c>
      <x:c r="E185" s="12" t="str">
        <x:v>P1</x:v>
      </x:c>
      <x:c r="F185" s="12" t="str">
        <x:v>Zip Bomb 방어 예제</x:v>
      </x:c>
      <x:c r="G185" s="12" t="str">
        <x:v>cpf-reference의 Batch 세부 그룹에 실행 가능한 **Zip Bomb 방어 예제** 기능을 제품 계약·기본 구현·실제 Consumer·운영 기능까지 연결한다. 단순 Interface, 화면 Route, Sample 문자열만으로 완료 처리하지 않는다.</x:v>
      </x:c>
      <x:c r="H185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85" s="12" t="str"/>
      <x:c r="J185" s="12" t="str">
        <x:v>WP03,WP04,WP05</x:v>
      </x:c>
      <x:c r="K185" s="12" t="str"/>
      <x:c r="L185" s="12" t="str">
        <x:v>MariaDB/Simulator</x:v>
      </x:c>
    </x:row>
    <x:row r="186">
      <x:c r="A186" s="12" t="str">
        <x:v>CPF-QA-D03-BATEDU-041</x:v>
      </x:c>
      <x:c r="B186" s="12" t="str">
        <x:v>BATEDU</x:v>
      </x:c>
      <x:c r="C186" s="12" t="str">
        <x:v>WP06</x:v>
      </x:c>
      <x:c r="D186" s="12" t="str">
        <x:v>부분 구현</x:v>
      </x:c>
      <x:c r="E186" s="12" t="str">
        <x:v>P1</x:v>
      </x:c>
      <x:c r="F186" s="12" t="str">
        <x:v>Batch 내 REST 호출 예제</x:v>
      </x:c>
      <x:c r="G186" s="12" t="str">
        <x:v>cpf-reference의 Batch 세부 그룹에 실행 가능한 **Batch 내 REST 호출 예제** 기능을 제품 계약·기본 구현·실제 Consumer·운영 기능까지 연결한다. 단순 Interface, 화면 Route, Sample 문자열만으로 완료 처리하지 않는다.</x:v>
      </x:c>
      <x:c r="H186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86" s="12" t="str"/>
      <x:c r="J186" s="12" t="str">
        <x:v>WP03,WP04,WP05</x:v>
      </x:c>
      <x:c r="K186" s="12" t="str"/>
      <x:c r="L186" s="12" t="str">
        <x:v>MariaDB/Simulator</x:v>
      </x:c>
    </x:row>
    <x:row r="187">
      <x:c r="A187" s="12" t="str">
        <x:v>CPF-QA-D03-BATEDU-042</x:v>
      </x:c>
      <x:c r="B187" s="12" t="str">
        <x:v>BATEDU</x:v>
      </x:c>
      <x:c r="C187" s="12" t="str">
        <x:v>WP06</x:v>
      </x:c>
      <x:c r="D187" s="12" t="str">
        <x:v>부분 구현</x:v>
      </x:c>
      <x:c r="E187" s="12" t="str">
        <x:v>P1</x:v>
      </x:c>
      <x:c r="F187" s="12" t="str">
        <x:v>Batch 내 TCP 전문 호출 예제</x:v>
      </x:c>
      <x:c r="G187" s="12" t="str">
        <x:v>cpf-reference의 Batch 세부 그룹에 실행 가능한 **Batch 내 TCP 전문 호출 예제** 기능을 제품 계약·기본 구현·실제 Consumer·운영 기능까지 연결한다. 단순 Interface, 화면 Route, Sample 문자열만으로 완료 처리하지 않는다.</x:v>
      </x:c>
      <x:c r="H187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87" s="12" t="str"/>
      <x:c r="J187" s="12" t="str">
        <x:v>WP03,WP04,WP05</x:v>
      </x:c>
      <x:c r="K187" s="12" t="str"/>
      <x:c r="L187" s="12" t="str">
        <x:v>MariaDB/Simulator</x:v>
      </x:c>
    </x:row>
    <x:row r="188">
      <x:c r="A188" s="12" t="str">
        <x:v>CPF-QA-D03-BATEDU-043</x:v>
      </x:c>
      <x:c r="B188" s="12" t="str">
        <x:v>BATEDU</x:v>
      </x:c>
      <x:c r="C188" s="12" t="str">
        <x:v>WP06</x:v>
      </x:c>
      <x:c r="D188" s="12" t="str">
        <x:v>부분 구현</x:v>
      </x:c>
      <x:c r="E188" s="12" t="str">
        <x:v>P1</x:v>
      </x:c>
      <x:c r="F188" s="12" t="str">
        <x:v>Batch 내 SOAP 호출 예제</x:v>
      </x:c>
      <x:c r="G188" s="12" t="str">
        <x:v>cpf-reference의 Batch 세부 그룹에 실행 가능한 **Batch 내 SOAP 호출 예제** 기능을 제품 계약·기본 구현·실제 Consumer·운영 기능까지 연결한다. 단순 Interface, 화면 Route, Sample 문자열만으로 완료 처리하지 않는다.</x:v>
      </x:c>
      <x:c r="H188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88" s="12" t="str"/>
      <x:c r="J188" s="12" t="str">
        <x:v>WP03,WP04,WP05</x:v>
      </x:c>
      <x:c r="K188" s="12" t="str"/>
      <x:c r="L188" s="12" t="str">
        <x:v>MariaDB/Simulator</x:v>
      </x:c>
    </x:row>
    <x:row r="189">
      <x:c r="A189" s="12" t="str">
        <x:v>CPF-QA-D03-BATEDU-044</x:v>
      </x:c>
      <x:c r="B189" s="12" t="str">
        <x:v>BATEDU</x:v>
      </x:c>
      <x:c r="C189" s="12" t="str">
        <x:v>WP06</x:v>
      </x:c>
      <x:c r="D189" s="12" t="str">
        <x:v>부분 구현</x:v>
      </x:c>
      <x:c r="E189" s="12" t="str">
        <x:v>P1</x:v>
      </x:c>
      <x:c r="F189" s="12" t="str">
        <x:v>Batch 내 gRPC 호출 예제</x:v>
      </x:c>
      <x:c r="G189" s="12" t="str">
        <x:v>cpf-reference의 Batch 세부 그룹에 실행 가능한 **Batch 내 gRPC 호출 예제** 기능을 제품 계약·기본 구현·실제 Consumer·운영 기능까지 연결한다. 단순 Interface, 화면 Route, Sample 문자열만으로 완료 처리하지 않는다.</x:v>
      </x:c>
      <x:c r="H189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89" s="12" t="str"/>
      <x:c r="J189" s="12" t="str">
        <x:v>WP03,WP04,WP05</x:v>
      </x:c>
      <x:c r="K189" s="12" t="str"/>
      <x:c r="L189" s="12" t="str">
        <x:v>MariaDB/Simulator</x:v>
      </x:c>
    </x:row>
    <x:row r="190">
      <x:c r="A190" s="12" t="str">
        <x:v>CPF-QA-D03-BATEDU-045</x:v>
      </x:c>
      <x:c r="B190" s="12" t="str">
        <x:v>BATEDU</x:v>
      </x:c>
      <x:c r="C190" s="12" t="str">
        <x:v>WP06</x:v>
      </x:c>
      <x:c r="D190" s="12" t="str">
        <x:v>부분 구현</x:v>
      </x:c>
      <x:c r="E190" s="12" t="str">
        <x:v>P1</x:v>
      </x:c>
      <x:c r="F190" s="12" t="str">
        <x:v>외부 호출 Timeout·Retry 예제</x:v>
      </x:c>
      <x:c r="G190" s="12" t="str">
        <x:v>cpf-reference의 Batch 세부 그룹에 실행 가능한 **외부 호출 Timeout·Retry 예제** 기능을 제품 계약·기본 구현·실제 Consumer·운영 기능까지 연결한다. 단순 Interface, 화면 Route, Sample 문자열만으로 완료 처리하지 않는다.</x:v>
      </x:c>
      <x:c r="H190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90" s="12" t="str"/>
      <x:c r="J190" s="12" t="str">
        <x:v>WP03,WP04,WP05</x:v>
      </x:c>
      <x:c r="K190" s="12" t="str"/>
      <x:c r="L190" s="12" t="str">
        <x:v>MariaDB/Simulator</x:v>
      </x:c>
    </x:row>
    <x:row r="191">
      <x:c r="A191" s="12" t="str">
        <x:v>CPF-QA-D03-BATEDU-046</x:v>
      </x:c>
      <x:c r="B191" s="12" t="str">
        <x:v>BATEDU</x:v>
      </x:c>
      <x:c r="C191" s="12" t="str">
        <x:v>WP06</x:v>
      </x:c>
      <x:c r="D191" s="12" t="str">
        <x:v>부분 구현</x:v>
      </x:c>
      <x:c r="E191" s="12" t="str">
        <x:v>P1</x:v>
      </x:c>
      <x:c r="F191" s="12" t="str">
        <x:v>외부 호출 Unknown Result 복구 예제</x:v>
      </x:c>
      <x:c r="G191" s="12" t="str">
        <x:v>cpf-reference의 Batch 세부 그룹에 실행 가능한 **외부 호출 Unknown Result 복구 예제** 기능을 제품 계약·기본 구현·실제 Consumer·운영 기능까지 연결한다. 단순 Interface, 화면 Route, Sample 문자열만으로 완료 처리하지 않는다.</x:v>
      </x:c>
      <x:c r="H191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91" s="12" t="str"/>
      <x:c r="J191" s="12" t="str">
        <x:v>WP03,WP04,WP05</x:v>
      </x:c>
      <x:c r="K191" s="12" t="str"/>
      <x:c r="L191" s="12" t="str">
        <x:v>MariaDB/Simulator</x:v>
      </x:c>
    </x:row>
    <x:row r="192">
      <x:c r="A192" s="12" t="str">
        <x:v>CPF-QA-D03-BATEDU-047</x:v>
      </x:c>
      <x:c r="B192" s="12" t="str">
        <x:v>BATEDU</x:v>
      </x:c>
      <x:c r="C192" s="12" t="str">
        <x:v>WP06</x:v>
      </x:c>
      <x:c r="D192" s="12" t="str">
        <x:v>부분 구현</x:v>
      </x:c>
      <x:c r="E192" s="12" t="str">
        <x:v>P1</x:v>
      </x:c>
      <x:c r="F192" s="12" t="str">
        <x:v>부분 성공·보상 거래 예제</x:v>
      </x:c>
      <x:c r="G192" s="12" t="str">
        <x:v>cpf-reference의 Batch 세부 그룹에 실행 가능한 **부분 성공·보상 거래 예제** 기능을 제품 계약·기본 구현·실제 Consumer·운영 기능까지 연결한다. 단순 Interface, 화면 Route, Sample 문자열만으로 완료 처리하지 않는다.</x:v>
      </x:c>
      <x:c r="H192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92" s="12" t="str"/>
      <x:c r="J192" s="12" t="str">
        <x:v>WP03,WP04,WP05</x:v>
      </x:c>
      <x:c r="K192" s="12" t="str"/>
      <x:c r="L192" s="12" t="str">
        <x:v>MariaDB/Simulator</x:v>
      </x:c>
    </x:row>
    <x:row r="193">
      <x:c r="A193" s="12" t="str">
        <x:v>CPF-QA-D03-BATEDU-048</x:v>
      </x:c>
      <x:c r="B193" s="12" t="str">
        <x:v>BATEDU</x:v>
      </x:c>
      <x:c r="C193" s="12" t="str">
        <x:v>WP06</x:v>
      </x:c>
      <x:c r="D193" s="12" t="str">
        <x:v>부분 구현</x:v>
      </x:c>
      <x:c r="E193" s="12" t="str">
        <x:v>P1</x:v>
      </x:c>
      <x:c r="F193" s="12" t="str">
        <x:v>Center-Cut 대상 추출·분할 예제</x:v>
      </x:c>
      <x:c r="G193" s="12" t="str">
        <x:v>cpf-reference의 Batch 세부 그룹에 실행 가능한 **Center-Cut 대상 추출·분할 예제** 기능을 제품 계약·기본 구현·실제 Consumer·운영 기능까지 연결한다. 단순 Interface, 화면 Route, Sample 문자열만으로 완료 처리하지 않는다.</x:v>
      </x:c>
      <x:c r="H193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93" s="12" t="str"/>
      <x:c r="J193" s="12" t="str">
        <x:v>WP03,WP04,WP05</x:v>
      </x:c>
      <x:c r="K193" s="12" t="str"/>
      <x:c r="L193" s="12" t="str">
        <x:v>MariaDB/Simulator</x:v>
      </x:c>
    </x:row>
    <x:row r="194">
      <x:c r="A194" s="12" t="str">
        <x:v>CPF-QA-D03-BATEDU-049</x:v>
      </x:c>
      <x:c r="B194" s="12" t="str">
        <x:v>BATEDU</x:v>
      </x:c>
      <x:c r="C194" s="12" t="str">
        <x:v>WP06</x:v>
      </x:c>
      <x:c r="D194" s="12" t="str">
        <x:v>부분 구현</x:v>
      </x:c>
      <x:c r="E194" s="12" t="str">
        <x:v>P1</x:v>
      </x:c>
      <x:c r="F194" s="12" t="str">
        <x:v>Center-Cut Worker 재배정 예제</x:v>
      </x:c>
      <x:c r="G194" s="12" t="str">
        <x:v>cpf-reference의 Batch 세부 그룹에 실행 가능한 **Center-Cut Worker 재배정 예제** 기능을 제품 계약·기본 구현·실제 Consumer·운영 기능까지 연결한다. 단순 Interface, 화면 Route, Sample 문자열만으로 완료 처리하지 않는다.</x:v>
      </x:c>
      <x:c r="H194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94" s="12" t="str"/>
      <x:c r="J194" s="12" t="str">
        <x:v>WP03,WP04,WP05</x:v>
      </x:c>
      <x:c r="K194" s="12" t="str"/>
      <x:c r="L194" s="12" t="str">
        <x:v>MariaDB/Simulator</x:v>
      </x:c>
    </x:row>
    <x:row r="195">
      <x:c r="A195" s="12" t="str">
        <x:v>CPF-QA-D03-BATEDU-050</x:v>
      </x:c>
      <x:c r="B195" s="12" t="str">
        <x:v>BATEDU</x:v>
      </x:c>
      <x:c r="C195" s="12" t="str">
        <x:v>WP06</x:v>
      </x:c>
      <x:c r="D195" s="12" t="str">
        <x:v>부분 구현</x:v>
      </x:c>
      <x:c r="E195" s="12" t="str">
        <x:v>P1</x:v>
      </x:c>
      <x:c r="F195" s="12" t="str">
        <x:v>On-Demand 승인 실행 예제</x:v>
      </x:c>
      <x:c r="G195" s="12" t="str">
        <x:v>cpf-reference의 Batch 세부 그룹에 실행 가능한 **On-Demand 승인 실행 예제** 기능을 제품 계약·기본 구현·실제 Consumer·운영 기능까지 연결한다. 단순 Interface, 화면 Route, Sample 문자열만으로 완료 처리하지 않는다.</x:v>
      </x:c>
      <x:c r="H195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95" s="12" t="str"/>
      <x:c r="J195" s="12" t="str">
        <x:v>WP03,WP04,WP05</x:v>
      </x:c>
      <x:c r="K195" s="12" t="str"/>
      <x:c r="L195" s="12" t="str">
        <x:v>MariaDB/Simulator</x:v>
      </x:c>
    </x:row>
    <x:row r="196">
      <x:c r="A196" s="12" t="str">
        <x:v>CPF-QA-D03-BATEDU-051</x:v>
      </x:c>
      <x:c r="B196" s="12" t="str">
        <x:v>BATEDU</x:v>
      </x:c>
      <x:c r="C196" s="12" t="str">
        <x:v>WP06</x:v>
      </x:c>
      <x:c r="D196" s="12" t="str">
        <x:v>부분 구현</x:v>
      </x:c>
      <x:c r="E196" s="12" t="str">
        <x:v>P1</x:v>
      </x:c>
      <x:c r="F196" s="12" t="str">
        <x:v>Scheduled Calendar 예제</x:v>
      </x:c>
      <x:c r="G196" s="12" t="str">
        <x:v>cpf-reference의 Batch 세부 그룹에 실행 가능한 **Scheduled Calendar 예제** 기능을 제품 계약·기본 구현·실제 Consumer·운영 기능까지 연결한다. 단순 Interface, 화면 Route, Sample 문자열만으로 완료 처리하지 않는다.</x:v>
      </x:c>
      <x:c r="H196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96" s="12" t="str"/>
      <x:c r="J196" s="12" t="str">
        <x:v>WP03,WP04,WP05</x:v>
      </x:c>
      <x:c r="K196" s="12" t="str"/>
      <x:c r="L196" s="12" t="str">
        <x:v>MariaDB/Simulator</x:v>
      </x:c>
    </x:row>
    <x:row r="197">
      <x:c r="A197" s="12" t="str">
        <x:v>CPF-QA-D03-BATEDU-052</x:v>
      </x:c>
      <x:c r="B197" s="12" t="str">
        <x:v>BATEDU</x:v>
      </x:c>
      <x:c r="C197" s="12" t="str">
        <x:v>WP06</x:v>
      </x:c>
      <x:c r="D197" s="12" t="str">
        <x:v>부분 구현</x:v>
      </x:c>
      <x:c r="E197" s="12" t="str">
        <x:v>P1</x:v>
      </x:c>
      <x:c r="F197" s="12" t="str">
        <x:v>File Trigger 예제</x:v>
      </x:c>
      <x:c r="G197" s="12" t="str">
        <x:v>cpf-reference의 Batch 세부 그룹에 실행 가능한 **File Trigger 예제** 기능을 제품 계약·기본 구현·실제 Consumer·운영 기능까지 연결한다. 단순 Interface, 화면 Route, Sample 문자열만으로 완료 처리하지 않는다.</x:v>
      </x:c>
      <x:c r="H197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97" s="12" t="str"/>
      <x:c r="J197" s="12" t="str">
        <x:v>WP03,WP04,WP05</x:v>
      </x:c>
      <x:c r="K197" s="12" t="str"/>
      <x:c r="L197" s="12" t="str">
        <x:v>MariaDB/Simulator</x:v>
      </x:c>
    </x:row>
    <x:row r="198">
      <x:c r="A198" s="12" t="str">
        <x:v>CPF-QA-D03-BATEDU-053</x:v>
      </x:c>
      <x:c r="B198" s="12" t="str">
        <x:v>BATEDU</x:v>
      </x:c>
      <x:c r="C198" s="12" t="str">
        <x:v>WP06</x:v>
      </x:c>
      <x:c r="D198" s="12" t="str">
        <x:v>부분 구현</x:v>
      </x:c>
      <x:c r="E198" s="12" t="str">
        <x:v>P1</x:v>
      </x:c>
      <x:c r="F198" s="12" t="str">
        <x:v>Event Trigger 예제</x:v>
      </x:c>
      <x:c r="G198" s="12" t="str">
        <x:v>cpf-reference의 Batch 세부 그룹에 실행 가능한 **Event Trigger 예제** 기능을 제품 계약·기본 구현·실제 Consumer·운영 기능까지 연결한다. 단순 Interface, 화면 Route, Sample 문자열만으로 완료 처리하지 않는다.</x:v>
      </x:c>
      <x:c r="H198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98" s="12" t="str"/>
      <x:c r="J198" s="12" t="str">
        <x:v>WP03,WP04,WP05</x:v>
      </x:c>
      <x:c r="K198" s="12" t="str"/>
      <x:c r="L198" s="12" t="str">
        <x:v>MariaDB/Simulator</x:v>
      </x:c>
    </x:row>
    <x:row r="199">
      <x:c r="A199" s="12" t="str">
        <x:v>CPF-QA-D03-BATEDU-054</x:v>
      </x:c>
      <x:c r="B199" s="12" t="str">
        <x:v>BATEDU</x:v>
      </x:c>
      <x:c r="C199" s="12" t="str">
        <x:v>WP06</x:v>
      </x:c>
      <x:c r="D199" s="12" t="str">
        <x:v>부분 구현</x:v>
      </x:c>
      <x:c r="E199" s="12" t="str">
        <x:v>P1</x:v>
      </x:c>
      <x:c r="F199" s="12" t="str">
        <x:v>Housekeeping Archive 예제</x:v>
      </x:c>
      <x:c r="G199" s="12" t="str">
        <x:v>cpf-reference의 Batch 세부 그룹에 실행 가능한 **Housekeeping Archive 예제** 기능을 제품 계약·기본 구현·실제 Consumer·운영 기능까지 연결한다. 단순 Interface, 화면 Route, Sample 문자열만으로 완료 처리하지 않는다.</x:v>
      </x:c>
      <x:c r="H199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199" s="12" t="str"/>
      <x:c r="J199" s="12" t="str">
        <x:v>WP03,WP04,WP05</x:v>
      </x:c>
      <x:c r="K199" s="12" t="str"/>
      <x:c r="L199" s="12" t="str">
        <x:v>MariaDB/Simulator</x:v>
      </x:c>
    </x:row>
    <x:row r="200">
      <x:c r="A200" s="12" t="str">
        <x:v>CPF-QA-D03-BATEDU-055</x:v>
      </x:c>
      <x:c r="B200" s="12" t="str">
        <x:v>BATEDU</x:v>
      </x:c>
      <x:c r="C200" s="12" t="str">
        <x:v>WP06</x:v>
      </x:c>
      <x:c r="D200" s="12" t="str">
        <x:v>부분 구현</x:v>
      </x:c>
      <x:c r="E200" s="12" t="str">
        <x:v>P1</x:v>
      </x:c>
      <x:c r="F200" s="12" t="str">
        <x:v>초기 Migration 재시작 예제</x:v>
      </x:c>
      <x:c r="G200" s="12" t="str">
        <x:v>cpf-reference의 Batch 세부 그룹에 실행 가능한 **초기 Migration 재시작 예제** 기능을 제품 계약·기본 구현·실제 Consumer·운영 기능까지 연결한다. 단순 Interface, 화면 Route, Sample 문자열만으로 완료 처리하지 않는다.</x:v>
      </x:c>
      <x:c r="H200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200" s="12" t="str"/>
      <x:c r="J200" s="12" t="str">
        <x:v>WP03,WP04,WP05</x:v>
      </x:c>
      <x:c r="K200" s="12" t="str"/>
      <x:c r="L200" s="12" t="str">
        <x:v>MariaDB/Simulator</x:v>
      </x:c>
    </x:row>
    <x:row r="201">
      <x:c r="A201" s="12" t="str">
        <x:v>CPF-QA-D03-BATEDU-056</x:v>
      </x:c>
      <x:c r="B201" s="12" t="str">
        <x:v>BATEDU</x:v>
      </x:c>
      <x:c r="C201" s="12" t="str">
        <x:v>WP06</x:v>
      </x:c>
      <x:c r="D201" s="12" t="str">
        <x:v>부분 구현</x:v>
      </x:c>
      <x:c r="E201" s="12" t="str">
        <x:v>P1</x:v>
      </x:c>
      <x:c r="F201" s="12" t="str">
        <x:v>Chunk·Fetch Size 성능 비교 예제</x:v>
      </x:c>
      <x:c r="G201" s="12" t="str">
        <x:v>cpf-reference의 Batch 세부 그룹에 실행 가능한 **Chunk·Fetch Size 성능 비교 예제** 기능을 제품 계약·기본 구현·실제 Consumer·운영 기능까지 연결한다. 단순 Interface, 화면 Route, Sample 문자열만으로 완료 처리하지 않는다.</x:v>
      </x:c>
      <x:c r="H201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201" s="12" t="str"/>
      <x:c r="J201" s="12" t="str">
        <x:v>WP03,WP04,WP05</x:v>
      </x:c>
      <x:c r="K201" s="12" t="str"/>
      <x:c r="L201" s="12" t="str">
        <x:v>MariaDB/Simulator</x:v>
      </x:c>
    </x:row>
    <x:row r="202">
      <x:c r="A202" s="12" t="str">
        <x:v>CPF-QA-D03-BATEDU-057</x:v>
      </x:c>
      <x:c r="B202" s="12" t="str">
        <x:v>BATEDU</x:v>
      </x:c>
      <x:c r="C202" s="12" t="str">
        <x:v>WP06</x:v>
      </x:c>
      <x:c r="D202" s="12" t="str">
        <x:v>부분 구현</x:v>
      </x:c>
      <x:c r="E202" s="12" t="str">
        <x:v>P1</x:v>
      </x:c>
      <x:c r="F202" s="12" t="str">
        <x:v>Thread 수·메모리 비교 예제</x:v>
      </x:c>
      <x:c r="G202" s="12" t="str">
        <x:v>cpf-reference의 Batch 세부 그룹에 실행 가능한 **Thread 수·메모리 비교 예제** 기능을 제품 계약·기본 구현·실제 Consumer·운영 기능까지 연결한다. 단순 Interface, 화면 Route, Sample 문자열만으로 완료 처리하지 않는다.</x:v>
      </x:c>
      <x:c r="H202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202" s="12" t="str"/>
      <x:c r="J202" s="12" t="str">
        <x:v>WP03,WP04,WP05</x:v>
      </x:c>
      <x:c r="K202" s="12" t="str"/>
      <x:c r="L202" s="12" t="str">
        <x:v>MariaDB/Simulator</x:v>
      </x:c>
    </x:row>
    <x:row r="203">
      <x:c r="A203" s="12" t="str">
        <x:v>CPF-QA-D03-BATEDU-058</x:v>
      </x:c>
      <x:c r="B203" s="12" t="str">
        <x:v>BATEDU</x:v>
      </x:c>
      <x:c r="C203" s="12" t="str">
        <x:v>WP06</x:v>
      </x:c>
      <x:c r="D203" s="12" t="str">
        <x:v>부분 구현</x:v>
      </x:c>
      <x:c r="E203" s="12" t="str">
        <x:v>P1</x:v>
      </x:c>
      <x:c r="F203" s="12" t="str">
        <x:v>장시간 Heartbeat·진행률 예제</x:v>
      </x:c>
      <x:c r="G203" s="12" t="str">
        <x:v>cpf-reference의 Batch 세부 그룹에 실행 가능한 **장시간 Heartbeat·진행률 예제** 기능을 제품 계약·기본 구현·실제 Consumer·운영 기능까지 연결한다. 단순 Interface, 화면 Route, Sample 문자열만으로 완료 처리하지 않는다.</x:v>
      </x:c>
      <x:c r="H203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203" s="12" t="str"/>
      <x:c r="J203" s="12" t="str">
        <x:v>WP03,WP04,WP05</x:v>
      </x:c>
      <x:c r="K203" s="12" t="str"/>
      <x:c r="L203" s="12" t="str">
        <x:v>MariaDB/Simulator</x:v>
      </x:c>
    </x:row>
    <x:row r="204">
      <x:c r="A204" s="12" t="str">
        <x:v>CPF-QA-D03-BATEDU-059</x:v>
      </x:c>
      <x:c r="B204" s="12" t="str">
        <x:v>BATEDU</x:v>
      </x:c>
      <x:c r="C204" s="12" t="str">
        <x:v>WP06</x:v>
      </x:c>
      <x:c r="D204" s="12" t="str">
        <x:v>부분 구현</x:v>
      </x:c>
      <x:c r="E204" s="12" t="str">
        <x:v>P1</x:v>
      </x:c>
      <x:c r="F204" s="12" t="str">
        <x:v>민감정보 마스킹 Batch 예제</x:v>
      </x:c>
      <x:c r="G204" s="12" t="str">
        <x:v>cpf-reference의 Batch 세부 그룹에 실행 가능한 **민감정보 마스킹 Batch 예제** 기능을 제품 계약·기본 구현·실제 Consumer·운영 기능까지 연결한다. 단순 Interface, 화면 Route, Sample 문자열만으로 완료 처리하지 않는다.</x:v>
      </x:c>
      <x:c r="H204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204" s="12" t="str"/>
      <x:c r="J204" s="12" t="str">
        <x:v>WP03,WP04,WP05</x:v>
      </x:c>
      <x:c r="K204" s="12" t="str"/>
      <x:c r="L204" s="12" t="str">
        <x:v>MariaDB/Simulator</x:v>
      </x:c>
    </x:row>
    <x:row r="205">
      <x:c r="A205" s="12" t="str">
        <x:v>CPF-QA-D03-BATEDU-060</x:v>
      </x:c>
      <x:c r="B205" s="12" t="str">
        <x:v>BATEDU</x:v>
      </x:c>
      <x:c r="C205" s="12" t="str">
        <x:v>WP06</x:v>
      </x:c>
      <x:c r="D205" s="12" t="str">
        <x:v>부분 구현</x:v>
      </x:c>
      <x:c r="E205" s="12" t="str">
        <x:v>P1</x:v>
      </x:c>
      <x:c r="F205" s="12" t="str">
        <x:v>Batch 운영 조회·제어 예제</x:v>
      </x:c>
      <x:c r="G205" s="12" t="str">
        <x:v>cpf-reference의 Batch 세부 그룹에 실행 가능한 **Batch 운영 조회·제어 예제** 기능을 제품 계약·기본 구현·실제 Consumer·운영 기능까지 연결한다. 단순 Interface, 화면 Route, Sample 문자열만으로 완료 처리하지 않는다.</x:v>
      </x:c>
      <x:c r="H205" s="12" t="str">
        <x:v>Sample Data Generator·정상/오류/복구 Test·batDB 결과·ADM 확인·Guide·Evidence로 정상·오류·경계·부분 실패·재시도/복구·권한·감사·다중 인스턴스 영향까지 자동 Test와 최신 SHA Evidence로 검증한다.</x:v>
      </x:c>
      <x:c r="I205" s="12" t="str"/>
      <x:c r="J205" s="12" t="str">
        <x:v>WP03,WP04,WP05</x:v>
      </x:c>
      <x:c r="K205" s="12" t="str"/>
      <x:c r="L205" s="12" t="str">
        <x:v>MariaDB/Simulator</x:v>
      </x:c>
    </x:row>
    <x:row r="206">
      <x:c r="A206" s="12" t="str">
        <x:v>CPF-QA-D03-EDU-003</x:v>
      </x:c>
      <x:c r="B206" s="12" t="str">
        <x:v>EDU</x:v>
      </x:c>
      <x:c r="C206" s="12" t="str">
        <x:v>WP07</x:v>
      </x:c>
      <x:c r="D206" s="12" t="str">
        <x:v>부분 구현</x:v>
      </x:c>
      <x:c r="E206" s="12" t="str">
        <x:v>P1</x:v>
      </x:c>
      <x:c r="F206" s="12" t="str">
        <x:v>동일 JVM Local Service Call 예제</x:v>
      </x:c>
      <x:c r="G206" s="12" t="str">
        <x:v>CPF가 공식 지원하는 기능별 그룹에 **동일 JVM Local Service Call 예제** 기능을 제품 계약·기본 구현·실제 Consumer·운영 기능까지 연결한다. 단순 Interface, 화면 Route, Sample 문자열만으로 완료 처리하지 않는다.</x:v>
      </x:c>
      <x:c r="H206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06" s="12" t="str"/>
      <x:c r="J206" s="12" t="str">
        <x:v>WP01,WP08</x:v>
      </x:c>
      <x:c r="K206" s="12" t="str"/>
      <x:c r="L206" s="12" t="str">
        <x:v>WAS+MariaDB/Fake/Simulator</x:v>
      </x:c>
    </x:row>
    <x:row r="207">
      <x:c r="A207" s="12" t="str">
        <x:v>CPF-QA-D03-EDU-004</x:v>
      </x:c>
      <x:c r="B207" s="12" t="str">
        <x:v>EDU</x:v>
      </x:c>
      <x:c r="C207" s="12" t="str">
        <x:v>WP07</x:v>
      </x:c>
      <x:c r="D207" s="12" t="str">
        <x:v>부분 구현</x:v>
      </x:c>
      <x:c r="E207" s="12" t="str">
        <x:v>P1</x:v>
      </x:c>
      <x:c r="F207" s="12" t="str">
        <x:v>분리 WAS Remote Service Call 예제</x:v>
      </x:c>
      <x:c r="G207" s="12" t="str">
        <x:v>CPF가 공식 지원하는 기능별 그룹에 **분리 WAS Remote Service Call 예제** 기능을 제품 계약·기본 구현·실제 Consumer·운영 기능까지 연결한다. 단순 Interface, 화면 Route, Sample 문자열만으로 완료 처리하지 않는다.</x:v>
      </x:c>
      <x:c r="H207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07" s="12" t="str"/>
      <x:c r="J207" s="12" t="str">
        <x:v>WP01,WP08</x:v>
      </x:c>
      <x:c r="K207" s="12" t="str"/>
      <x:c r="L207" s="12" t="str">
        <x:v>WAS+MariaDB/Fake/Simulator</x:v>
      </x:c>
    </x:row>
    <x:row r="208">
      <x:c r="A208" s="12" t="str">
        <x:v>CPF-QA-D03-EDU-005</x:v>
      </x:c>
      <x:c r="B208" s="12" t="str">
        <x:v>EDU</x:v>
      </x:c>
      <x:c r="C208" s="12" t="str">
        <x:v>WP07</x:v>
      </x:c>
      <x:c r="D208" s="12" t="str">
        <x:v>부분 구현</x:v>
      </x:c>
      <x:c r="E208" s="12" t="str">
        <x:v>P1</x:v>
      </x:c>
      <x:c r="F208" s="12" t="str">
        <x:v>Local/Remote 동일 계약 예제</x:v>
      </x:c>
      <x:c r="G208" s="12" t="str">
        <x:v>CPF가 공식 지원하는 기능별 그룹에 **Local/Remote 동일 계약 예제** 기능을 제품 계약·기본 구현·실제 Consumer·운영 기능까지 연결한다. 단순 Interface, 화면 Route, Sample 문자열만으로 완료 처리하지 않는다.</x:v>
      </x:c>
      <x:c r="H208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08" s="12" t="str"/>
      <x:c r="J208" s="12" t="str">
        <x:v>WP01,WP08</x:v>
      </x:c>
      <x:c r="K208" s="12" t="str"/>
      <x:c r="L208" s="12" t="str">
        <x:v>WAS+MariaDB/Fake/Simulator</x:v>
      </x:c>
    </x:row>
    <x:row r="209">
      <x:c r="A209" s="12" t="str">
        <x:v>CPF-QA-D03-EDU-006</x:v>
      </x:c>
      <x:c r="B209" s="12" t="str">
        <x:v>EDU</x:v>
      </x:c>
      <x:c r="C209" s="12" t="str">
        <x:v>WP07</x:v>
      </x:c>
      <x:c r="D209" s="12" t="str">
        <x:v>부분 구현</x:v>
      </x:c>
      <x:c r="E209" s="12" t="str">
        <x:v>P1</x:v>
      </x:c>
      <x:c r="F209" s="12" t="str">
        <x:v>REST 조회·등록·변경 예제</x:v>
      </x:c>
      <x:c r="G209" s="12" t="str">
        <x:v>CPF가 공식 지원하는 기능별 그룹에 **REST 조회·등록·변경 예제** 기능을 제품 계약·기본 구현·실제 Consumer·운영 기능까지 연결한다. 단순 Interface, 화면 Route, Sample 문자열만으로 완료 처리하지 않는다.</x:v>
      </x:c>
      <x:c r="H209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09" s="12" t="str"/>
      <x:c r="J209" s="12" t="str">
        <x:v>WP01,WP08</x:v>
      </x:c>
      <x:c r="K209" s="12" t="str"/>
      <x:c r="L209" s="12" t="str">
        <x:v>WAS+MariaDB/Fake/Simulator</x:v>
      </x:c>
    </x:row>
    <x:row r="210">
      <x:c r="A210" s="12" t="str">
        <x:v>CPF-QA-D03-EDU-007</x:v>
      </x:c>
      <x:c r="B210" s="12" t="str">
        <x:v>EDU</x:v>
      </x:c>
      <x:c r="C210" s="12" t="str">
        <x:v>WP07</x:v>
      </x:c>
      <x:c r="D210" s="12" t="str">
        <x:v>부분 구현</x:v>
      </x:c>
      <x:c r="E210" s="12" t="str">
        <x:v>P1</x:v>
      </x:c>
      <x:c r="F210" s="12" t="str">
        <x:v>여러 외부기관 순차 호출 예제</x:v>
      </x:c>
      <x:c r="G210" s="12" t="str">
        <x:v>CPF가 공식 지원하는 기능별 그룹에 **여러 외부기관 순차 호출 예제** 기능을 제품 계약·기본 구현·실제 Consumer·운영 기능까지 연결한다. 단순 Interface, 화면 Route, Sample 문자열만으로 완료 처리하지 않는다.</x:v>
      </x:c>
      <x:c r="H210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10" s="12" t="str"/>
      <x:c r="J210" s="12" t="str">
        <x:v>WP01,WP08</x:v>
      </x:c>
      <x:c r="K210" s="12" t="str"/>
      <x:c r="L210" s="12" t="str">
        <x:v>WAS+MariaDB/Fake/Simulator</x:v>
      </x:c>
    </x:row>
    <x:row r="211">
      <x:c r="A211" s="12" t="str">
        <x:v>CPF-QA-D03-EDU-008</x:v>
      </x:c>
      <x:c r="B211" s="12" t="str">
        <x:v>EDU</x:v>
      </x:c>
      <x:c r="C211" s="12" t="str">
        <x:v>WP07</x:v>
      </x:c>
      <x:c r="D211" s="12" t="str">
        <x:v>부분 구현</x:v>
      </x:c>
      <x:c r="E211" s="12" t="str">
        <x:v>P1</x:v>
      </x:c>
      <x:c r="F211" s="12" t="str">
        <x:v>여러 외부기관 병렬 호출 예제</x:v>
      </x:c>
      <x:c r="G211" s="12" t="str">
        <x:v>CPF가 공식 지원하는 기능별 그룹에 **여러 외부기관 병렬 호출 예제** 기능을 제품 계약·기본 구현·실제 Consumer·운영 기능까지 연결한다. 단순 Interface, 화면 Route, Sample 문자열만으로 완료 처리하지 않는다.</x:v>
      </x:c>
      <x:c r="H211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11" s="12" t="str"/>
      <x:c r="J211" s="12" t="str">
        <x:v>WP01,WP08</x:v>
      </x:c>
      <x:c r="K211" s="12" t="str"/>
      <x:c r="L211" s="12" t="str">
        <x:v>WAS+MariaDB/Fake/Simulator</x:v>
      </x:c>
    </x:row>
    <x:row r="212">
      <x:c r="A212" s="12" t="str">
        <x:v>CPF-QA-D03-EDU-009</x:v>
      </x:c>
      <x:c r="B212" s="12" t="str">
        <x:v>EDU</x:v>
      </x:c>
      <x:c r="C212" s="12" t="str">
        <x:v>WP07</x:v>
      </x:c>
      <x:c r="D212" s="12" t="str">
        <x:v>부분 구현</x:v>
      </x:c>
      <x:c r="E212" s="12" t="str">
        <x:v>P1</x:v>
      </x:c>
      <x:c r="F212" s="12" t="str">
        <x:v>부분 성공 결과 취합 예제</x:v>
      </x:c>
      <x:c r="G212" s="12" t="str">
        <x:v>CPF가 공식 지원하는 기능별 그룹에 **부분 성공 결과 취합 예제** 기능을 제품 계약·기본 구현·실제 Consumer·운영 기능까지 연결한다. 단순 Interface, 화면 Route, Sample 문자열만으로 완료 처리하지 않는다.</x:v>
      </x:c>
      <x:c r="H212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12" s="12" t="str"/>
      <x:c r="J212" s="12" t="str">
        <x:v>WP01,WP08</x:v>
      </x:c>
      <x:c r="K212" s="12" t="str"/>
      <x:c r="L212" s="12" t="str">
        <x:v>WAS+MariaDB/Fake/Simulator</x:v>
      </x:c>
    </x:row>
    <x:row r="213">
      <x:c r="A213" s="12" t="str">
        <x:v>CPF-QA-D03-EDU-010</x:v>
      </x:c>
      <x:c r="B213" s="12" t="str">
        <x:v>EDU</x:v>
      </x:c>
      <x:c r="C213" s="12" t="str">
        <x:v>WP07</x:v>
      </x:c>
      <x:c r="D213" s="12" t="str">
        <x:v>부분 구현</x:v>
      </x:c>
      <x:c r="E213" s="12" t="str">
        <x:v>P1</x:v>
      </x:c>
      <x:c r="F213" s="12" t="str">
        <x:v>Primary/Secondary Failover 예제</x:v>
      </x:c>
      <x:c r="G213" s="12" t="str">
        <x:v>CPF가 공식 지원하는 기능별 그룹에 **Primary/Secondary Failover 예제** 기능을 제품 계약·기본 구현·실제 Consumer·운영 기능까지 연결한다. 단순 Interface, 화면 Route, Sample 문자열만으로 완료 처리하지 않는다.</x:v>
      </x:c>
      <x:c r="H213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13" s="12" t="str"/>
      <x:c r="J213" s="12" t="str">
        <x:v>WP01,WP08</x:v>
      </x:c>
      <x:c r="K213" s="12" t="str"/>
      <x:c r="L213" s="12" t="str">
        <x:v>WAS+MariaDB/Fake/Simulator</x:v>
      </x:c>
    </x:row>
    <x:row r="214">
      <x:c r="A214" s="12" t="str">
        <x:v>CPF-QA-D03-EDU-011</x:v>
      </x:c>
      <x:c r="B214" s="12" t="str">
        <x:v>EDU</x:v>
      </x:c>
      <x:c r="C214" s="12" t="str">
        <x:v>WP07</x:v>
      </x:c>
      <x:c r="D214" s="12" t="str">
        <x:v>부분 구현</x:v>
      </x:c>
      <x:c r="E214" s="12" t="str">
        <x:v>P1</x:v>
      </x:c>
      <x:c r="F214" s="12" t="str">
        <x:v>원거래 취소·보상 호출 예제</x:v>
      </x:c>
      <x:c r="G214" s="12" t="str">
        <x:v>CPF가 공식 지원하는 기능별 그룹에 **원거래 취소·보상 호출 예제** 기능을 제품 계약·기본 구현·실제 Consumer·운영 기능까지 연결한다. 단순 Interface, 화면 Route, Sample 문자열만으로 완료 처리하지 않는다.</x:v>
      </x:c>
      <x:c r="H214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14" s="12" t="str"/>
      <x:c r="J214" s="12" t="str">
        <x:v>WP01,WP08</x:v>
      </x:c>
      <x:c r="K214" s="12" t="str"/>
      <x:c r="L214" s="12" t="str">
        <x:v>WAS+MariaDB/Fake/Simulator</x:v>
      </x:c>
    </x:row>
    <x:row r="215">
      <x:c r="A215" s="12" t="str">
        <x:v>CPF-QA-D03-EDU-012</x:v>
      </x:c>
      <x:c r="B215" s="12" t="str">
        <x:v>EDU</x:v>
      </x:c>
      <x:c r="C215" s="12" t="str">
        <x:v>WP07</x:v>
      </x:c>
      <x:c r="D215" s="12" t="str">
        <x:v>부분 구현</x:v>
      </x:c>
      <x:c r="E215" s="12" t="str">
        <x:v>P1</x:v>
      </x:c>
      <x:c r="F215" s="12" t="str">
        <x:v>멱등 요청 중복 수신 예제</x:v>
      </x:c>
      <x:c r="G215" s="12" t="str">
        <x:v>CPF가 공식 지원하는 기능별 그룹에 **멱등 요청 중복 수신 예제** 기능을 제품 계약·기본 구현·실제 Consumer·운영 기능까지 연결한다. 단순 Interface, 화면 Route, Sample 문자열만으로 완료 처리하지 않는다.</x:v>
      </x:c>
      <x:c r="H215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15" s="12" t="str"/>
      <x:c r="J215" s="12" t="str">
        <x:v>WP01,WP08</x:v>
      </x:c>
      <x:c r="K215" s="12" t="str"/>
      <x:c r="L215" s="12" t="str">
        <x:v>WAS+MariaDB/Fake/Simulator</x:v>
      </x:c>
    </x:row>
    <x:row r="216">
      <x:c r="A216" s="12" t="str">
        <x:v>CPF-QA-D03-EDU-013</x:v>
      </x:c>
      <x:c r="B216" s="12" t="str">
        <x:v>EDU</x:v>
      </x:c>
      <x:c r="C216" s="12" t="str">
        <x:v>WP07</x:v>
      </x:c>
      <x:c r="D216" s="12" t="str">
        <x:v>부분 구현</x:v>
      </x:c>
      <x:c r="E216" s="12" t="str">
        <x:v>P1</x:v>
      </x:c>
      <x:c r="F216" s="12" t="str">
        <x:v>응답 유실 Exact Replay 예제</x:v>
      </x:c>
      <x:c r="G216" s="12" t="str">
        <x:v>CPF가 공식 지원하는 기능별 그룹에 **응답 유실 Exact Replay 예제** 기능을 제품 계약·기본 구현·실제 Consumer·운영 기능까지 연결한다. 단순 Interface, 화면 Route, Sample 문자열만으로 완료 처리하지 않는다.</x:v>
      </x:c>
      <x:c r="H216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16" s="12" t="str"/>
      <x:c r="J216" s="12" t="str">
        <x:v>WP01,WP08</x:v>
      </x:c>
      <x:c r="K216" s="12" t="str"/>
      <x:c r="L216" s="12" t="str">
        <x:v>WAS+MariaDB/Fake/Simulator</x:v>
      </x:c>
    </x:row>
    <x:row r="217">
      <x:c r="A217" s="12" t="str">
        <x:v>CPF-QA-D03-EDU-014</x:v>
      </x:c>
      <x:c r="B217" s="12" t="str">
        <x:v>EDU</x:v>
      </x:c>
      <x:c r="C217" s="12" t="str">
        <x:v>WP07</x:v>
      </x:c>
      <x:c r="D217" s="12" t="str">
        <x:v>부분 구현</x:v>
      </x:c>
      <x:c r="E217" s="12" t="str">
        <x:v>P1</x:v>
      </x:c>
      <x:c r="F217" s="12" t="str">
        <x:v>Outbox/Inbox 정합성 예제</x:v>
      </x:c>
      <x:c r="G217" s="12" t="str">
        <x:v>CPF가 공식 지원하는 기능별 그룹에 **Outbox/Inbox 정합성 예제** 기능을 제품 계약·기본 구현·실제 Consumer·운영 기능까지 연결한다. 단순 Interface, 화면 Route, Sample 문자열만으로 완료 처리하지 않는다.</x:v>
      </x:c>
      <x:c r="H217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17" s="12" t="str"/>
      <x:c r="J217" s="12" t="str">
        <x:v>WP01,WP08</x:v>
      </x:c>
      <x:c r="K217" s="12" t="str"/>
      <x:c r="L217" s="12" t="str">
        <x:v>WAS+MariaDB/Fake/Simulator</x:v>
      </x:c>
    </x:row>
    <x:row r="218">
      <x:c r="A218" s="12" t="str">
        <x:v>CPF-QA-D03-EDU-015</x:v>
      </x:c>
      <x:c r="B218" s="12" t="str">
        <x:v>EDU</x:v>
      </x:c>
      <x:c r="C218" s="12" t="str">
        <x:v>WP07</x:v>
      </x:c>
      <x:c r="D218" s="12" t="str">
        <x:v>부분 구현</x:v>
      </x:c>
      <x:c r="E218" s="12" t="str">
        <x:v>P1</x:v>
      </x:c>
      <x:c r="F218" s="12" t="str">
        <x:v>Saga 보상 예제</x:v>
      </x:c>
      <x:c r="G218" s="12" t="str">
        <x:v>CPF가 공식 지원하는 기능별 그룹에 **Saga 보상 예제** 기능을 제품 계약·기본 구현·실제 Consumer·운영 기능까지 연결한다. 단순 Interface, 화면 Route, Sample 문자열만으로 완료 처리하지 않는다.</x:v>
      </x:c>
      <x:c r="H218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18" s="12" t="str"/>
      <x:c r="J218" s="12" t="str">
        <x:v>WP01,WP08</x:v>
      </x:c>
      <x:c r="K218" s="12" t="str"/>
      <x:c r="L218" s="12" t="str">
        <x:v>WAS+MariaDB/Fake/Simulator</x:v>
      </x:c>
    </x:row>
    <x:row r="219">
      <x:c r="A219" s="12" t="str">
        <x:v>CPF-QA-D03-EDU-016</x:v>
      </x:c>
      <x:c r="B219" s="12" t="str">
        <x:v>EDU</x:v>
      </x:c>
      <x:c r="C219" s="12" t="str">
        <x:v>WP07</x:v>
      </x:c>
      <x:c r="D219" s="12" t="str">
        <x:v>부분 구현</x:v>
      </x:c>
      <x:c r="E219" s="12" t="str">
        <x:v>P1</x:v>
      </x:c>
      <x:c r="F219" s="12" t="str">
        <x:v>Optimistic Lock 충돌 예제</x:v>
      </x:c>
      <x:c r="G219" s="12" t="str">
        <x:v>CPF가 공식 지원하는 기능별 그룹에 **Optimistic Lock 충돌 예제** 기능을 제품 계약·기본 구현·실제 Consumer·운영 기능까지 연결한다. 단순 Interface, 화면 Route, Sample 문자열만으로 완료 처리하지 않는다.</x:v>
      </x:c>
      <x:c r="H219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19" s="12" t="str"/>
      <x:c r="J219" s="12" t="str">
        <x:v>WP01,WP08</x:v>
      </x:c>
      <x:c r="K219" s="12" t="str"/>
      <x:c r="L219" s="12" t="str">
        <x:v>WAS+MariaDB/Fake/Simulator</x:v>
      </x:c>
    </x:row>
    <x:row r="220">
      <x:c r="A220" s="12" t="str">
        <x:v>CPF-QA-D03-EDU-017</x:v>
      </x:c>
      <x:c r="B220" s="12" t="str">
        <x:v>EDU</x:v>
      </x:c>
      <x:c r="C220" s="12" t="str">
        <x:v>WP07</x:v>
      </x:c>
      <x:c r="D220" s="12" t="str">
        <x:v>부분 구현</x:v>
      </x:c>
      <x:c r="E220" s="12" t="str">
        <x:v>P1</x:v>
      </x:c>
      <x:c r="F220" s="12" t="str">
        <x:v>Distributed Lock 충돌 예제</x:v>
      </x:c>
      <x:c r="G220" s="12" t="str">
        <x:v>CPF가 공식 지원하는 기능별 그룹에 **Distributed Lock 충돌 예제** 기능을 제품 계약·기본 구현·실제 Consumer·운영 기능까지 연결한다. 단순 Interface, 화면 Route, Sample 문자열만으로 완료 처리하지 않는다.</x:v>
      </x:c>
      <x:c r="H220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20" s="12" t="str"/>
      <x:c r="J220" s="12" t="str">
        <x:v>WP01,WP08</x:v>
      </x:c>
      <x:c r="K220" s="12" t="str"/>
      <x:c r="L220" s="12" t="str">
        <x:v>WAS+MariaDB/Fake/Simulator</x:v>
      </x:c>
    </x:row>
    <x:row r="221">
      <x:c r="A221" s="12" t="str">
        <x:v>CPF-QA-D03-EDU-018</x:v>
      </x:c>
      <x:c r="B221" s="12" t="str">
        <x:v>EDU</x:v>
      </x:c>
      <x:c r="C221" s="12" t="str">
        <x:v>WP07</x:v>
      </x:c>
      <x:c r="D221" s="12" t="str">
        <x:v>부분 구현</x:v>
      </x:c>
      <x:c r="E221" s="12" t="str">
        <x:v>P1</x:v>
      </x:c>
      <x:c r="F221" s="12" t="str">
        <x:v>고정길이 TCP 전문 예제</x:v>
      </x:c>
      <x:c r="G221" s="12" t="str">
        <x:v>CPF가 공식 지원하는 기능별 그룹에 **고정길이 TCP 전문 예제** 기능을 제품 계약·기본 구현·실제 Consumer·운영 기능까지 연결한다. 단순 Interface, 화면 Route, Sample 문자열만으로 완료 처리하지 않는다.</x:v>
      </x:c>
      <x:c r="H221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21" s="12" t="str"/>
      <x:c r="J221" s="12" t="str">
        <x:v>WP01,WP08</x:v>
      </x:c>
      <x:c r="K221" s="12" t="str"/>
      <x:c r="L221" s="12" t="str">
        <x:v>WAS+MariaDB/Fake/Simulator</x:v>
      </x:c>
    </x:row>
    <x:row r="222">
      <x:c r="A222" s="12" t="str">
        <x:v>CPF-QA-D03-EDU-019</x:v>
      </x:c>
      <x:c r="B222" s="12" t="str">
        <x:v>EDU</x:v>
      </x:c>
      <x:c r="C222" s="12" t="str">
        <x:v>WP07</x:v>
      </x:c>
      <x:c r="D222" s="12" t="str">
        <x:v>부분 구현</x:v>
      </x:c>
      <x:c r="E222" s="12" t="str">
        <x:v>P1</x:v>
      </x:c>
      <x:c r="F222" s="12" t="str">
        <x:v>가변길이 Length Header 전문 예제</x:v>
      </x:c>
      <x:c r="G222" s="12" t="str">
        <x:v>CPF가 공식 지원하는 기능별 그룹에 **가변길이 Length Header 전문 예제** 기능을 제품 계약·기본 구현·실제 Consumer·운영 기능까지 연결한다. 단순 Interface, 화면 Route, Sample 문자열만으로 완료 처리하지 않는다.</x:v>
      </x:c>
      <x:c r="H222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22" s="12" t="str"/>
      <x:c r="J222" s="12" t="str">
        <x:v>WP01,WP08</x:v>
      </x:c>
      <x:c r="K222" s="12" t="str"/>
      <x:c r="L222" s="12" t="str">
        <x:v>WAS+MariaDB/Fake/Simulator</x:v>
      </x:c>
    </x:row>
    <x:row r="223">
      <x:c r="A223" s="12" t="str">
        <x:v>CPF-QA-D03-EDU-020</x:v>
      </x:c>
      <x:c r="B223" s="12" t="str">
        <x:v>EDU</x:v>
      </x:c>
      <x:c r="C223" s="12" t="str">
        <x:v>WP07</x:v>
      </x:c>
      <x:c r="D223" s="12" t="str">
        <x:v>부분 구현</x:v>
      </x:c>
      <x:c r="E223" s="12" t="str">
        <x:v>P1</x:v>
      </x:c>
      <x:c r="F223" s="12" t="str">
        <x:v>STX/ETX·CRLF 전문 예제</x:v>
      </x:c>
      <x:c r="G223" s="12" t="str">
        <x:v>CPF가 공식 지원하는 기능별 그룹에 **STX/ETX·CRLF 전문 예제** 기능을 제품 계약·기본 구현·실제 Consumer·운영 기능까지 연결한다. 단순 Interface, 화면 Route, Sample 문자열만으로 완료 처리하지 않는다.</x:v>
      </x:c>
      <x:c r="H223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23" s="12" t="str"/>
      <x:c r="J223" s="12" t="str">
        <x:v>WP01,WP08</x:v>
      </x:c>
      <x:c r="K223" s="12" t="str"/>
      <x:c r="L223" s="12" t="str">
        <x:v>WAS+MariaDB/Fake/Simulator</x:v>
      </x:c>
    </x:row>
    <x:row r="224">
      <x:c r="A224" s="12" t="str">
        <x:v>CPF-QA-D03-EDU-021</x:v>
      </x:c>
      <x:c r="B224" s="12" t="str">
        <x:v>EDU</x:v>
      </x:c>
      <x:c r="C224" s="12" t="str">
        <x:v>WP07</x:v>
      </x:c>
      <x:c r="D224" s="12" t="str">
        <x:v>부분 구현</x:v>
      </x:c>
      <x:c r="E224" s="12" t="str">
        <x:v>P1</x:v>
      </x:c>
      <x:c r="F224" s="12" t="str">
        <x:v>Binary·BCD·Hex 전문 예제</x:v>
      </x:c>
      <x:c r="G224" s="12" t="str">
        <x:v>CPF가 공식 지원하는 기능별 그룹에 **Binary·BCD·Hex 전문 예제** 기능을 제품 계약·기본 구현·실제 Consumer·운영 기능까지 연결한다. 단순 Interface, 화면 Route, Sample 문자열만으로 완료 처리하지 않는다.</x:v>
      </x:c>
      <x:c r="H224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24" s="12" t="str"/>
      <x:c r="J224" s="12" t="str">
        <x:v>WP01,WP08</x:v>
      </x:c>
      <x:c r="K224" s="12" t="str"/>
      <x:c r="L224" s="12" t="str">
        <x:v>WAS+MariaDB/Fake/Simulator</x:v>
      </x:c>
    </x:row>
    <x:row r="225">
      <x:c r="A225" s="12" t="str">
        <x:v>CPF-QA-D03-EDU-022</x:v>
      </x:c>
      <x:c r="B225" s="12" t="str">
        <x:v>EDU</x:v>
      </x:c>
      <x:c r="C225" s="12" t="str">
        <x:v>WP07</x:v>
      </x:c>
      <x:c r="D225" s="12" t="str">
        <x:v>부분 구현</x:v>
      </x:c>
      <x:c r="E225" s="12" t="str">
        <x:v>P1</x:v>
      </x:c>
      <x:c r="F225" s="12" t="str">
        <x:v>UTF-8·EUC-KR·EBCDIC 변환 예제</x:v>
      </x:c>
      <x:c r="G225" s="12" t="str">
        <x:v>CPF가 공식 지원하는 기능별 그룹에 **UTF-8·EUC-KR·EBCDIC 변환 예제** 기능을 제품 계약·기본 구현·실제 Consumer·운영 기능까지 연결한다. 단순 Interface, 화면 Route, Sample 문자열만으로 완료 처리하지 않는다.</x:v>
      </x:c>
      <x:c r="H225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25" s="12" t="str"/>
      <x:c r="J225" s="12" t="str">
        <x:v>WP01,WP08</x:v>
      </x:c>
      <x:c r="K225" s="12" t="str"/>
      <x:c r="L225" s="12" t="str">
        <x:v>WAS+MariaDB/Fake/Simulator</x:v>
      </x:c>
    </x:row>
    <x:row r="226">
      <x:c r="A226" s="12" t="str">
        <x:v>CPF-QA-D03-EDU-023</x:v>
      </x:c>
      <x:c r="B226" s="12" t="str">
        <x:v>EDU</x:v>
      </x:c>
      <x:c r="C226" s="12" t="str">
        <x:v>WP07</x:v>
      </x:c>
      <x:c r="D226" s="12" t="str">
        <x:v>부분 구현</x:v>
      </x:c>
      <x:c r="E226" s="12" t="str">
        <x:v>P1</x:v>
      </x:c>
      <x:c r="F226" s="12" t="str">
        <x:v>전문 Header·Body·Trailer 예제</x:v>
      </x:c>
      <x:c r="G226" s="12" t="str">
        <x:v>CPF가 공식 지원하는 기능별 그룹에 **전문 Header·Body·Trailer 예제** 기능을 제품 계약·기본 구현·실제 Consumer·운영 기능까지 연결한다. 단순 Interface, 화면 Route, Sample 문자열만으로 완료 처리하지 않는다.</x:v>
      </x:c>
      <x:c r="H226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26" s="12" t="str"/>
      <x:c r="J226" s="12" t="str">
        <x:v>WP01,WP08</x:v>
      </x:c>
      <x:c r="K226" s="12" t="str"/>
      <x:c r="L226" s="12" t="str">
        <x:v>WAS+MariaDB/Fake/Simulator</x:v>
      </x:c>
    </x:row>
    <x:row r="227">
      <x:c r="A227" s="12" t="str">
        <x:v>CPF-QA-D03-EDU-024</x:v>
      </x:c>
      <x:c r="B227" s="12" t="str">
        <x:v>EDU</x:v>
      </x:c>
      <x:c r="C227" s="12" t="str">
        <x:v>WP07</x:v>
      </x:c>
      <x:c r="D227" s="12" t="str">
        <x:v>부분 구현</x:v>
      </x:c>
      <x:c r="E227" s="12" t="str">
        <x:v>P1</x:v>
      </x:c>
      <x:c r="F227" s="12" t="str">
        <x:v>전문 Version Layout 예제</x:v>
      </x:c>
      <x:c r="G227" s="12" t="str">
        <x:v>CPF가 공식 지원하는 기능별 그룹에 **전문 Version Layout 예제** 기능을 제품 계약·기본 구현·실제 Consumer·운영 기능까지 연결한다. 단순 Interface, 화면 Route, Sample 문자열만으로 완료 처리하지 않는다.</x:v>
      </x:c>
      <x:c r="H227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27" s="12" t="str"/>
      <x:c r="J227" s="12" t="str">
        <x:v>WP01,WP08</x:v>
      </x:c>
      <x:c r="K227" s="12" t="str"/>
      <x:c r="L227" s="12" t="str">
        <x:v>WAS+MariaDB/Fake/Simulator</x:v>
      </x:c>
    </x:row>
    <x:row r="228">
      <x:c r="A228" s="12" t="str">
        <x:v>CPF-QA-D03-EDU-025</x:v>
      </x:c>
      <x:c r="B228" s="12" t="str">
        <x:v>EDU</x:v>
      </x:c>
      <x:c r="C228" s="12" t="str">
        <x:v>WP07</x:v>
      </x:c>
      <x:c r="D228" s="12" t="str">
        <x:v>부분 구현</x:v>
      </x:c>
      <x:c r="E228" s="12" t="str">
        <x:v>P1</x:v>
      </x:c>
      <x:c r="F228" s="12" t="str">
        <x:v>Correlation·응답 순서 역전 예제</x:v>
      </x:c>
      <x:c r="G228" s="12" t="str">
        <x:v>CPF가 공식 지원하는 기능별 그룹에 **Correlation·응답 순서 역전 예제** 기능을 제품 계약·기본 구현·실제 Consumer·운영 기능까지 연결한다. 단순 Interface, 화면 Route, Sample 문자열만으로 완료 처리하지 않는다.</x:v>
      </x:c>
      <x:c r="H228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28" s="12" t="str"/>
      <x:c r="J228" s="12" t="str">
        <x:v>WP01,WP08</x:v>
      </x:c>
      <x:c r="K228" s="12" t="str"/>
      <x:c r="L228" s="12" t="str">
        <x:v>WAS+MariaDB/Fake/Simulator</x:v>
      </x:c>
    </x:row>
    <x:row r="229">
      <x:c r="A229" s="12" t="str">
        <x:v>CPF-QA-D03-EDU-026</x:v>
      </x:c>
      <x:c r="B229" s="12" t="str">
        <x:v>EDU</x:v>
      </x:c>
      <x:c r="C229" s="12" t="str">
        <x:v>WP07</x:v>
      </x:c>
      <x:c r="D229" s="12" t="str">
        <x:v>부분 구현</x:v>
      </x:c>
      <x:c r="E229" s="12" t="str">
        <x:v>P1</x:v>
      </x:c>
      <x:c r="F229" s="12" t="str">
        <x:v>재접속·Heartbeat 예제</x:v>
      </x:c>
      <x:c r="G229" s="12" t="str">
        <x:v>CPF가 공식 지원하는 기능별 그룹에 **재접속·Heartbeat 예제** 기능을 제품 계약·기본 구현·실제 Consumer·운영 기능까지 연결한다. 단순 Interface, 화면 Route, Sample 문자열만으로 완료 처리하지 않는다.</x:v>
      </x:c>
      <x:c r="H229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29" s="12" t="str"/>
      <x:c r="J229" s="12" t="str">
        <x:v>WP01,WP08</x:v>
      </x:c>
      <x:c r="K229" s="12" t="str"/>
      <x:c r="L229" s="12" t="str">
        <x:v>WAS+MariaDB/Fake/Simulator</x:v>
      </x:c>
    </x:row>
    <x:row r="230">
      <x:c r="A230" s="12" t="str">
        <x:v>CPF-QA-D03-EDU-027</x:v>
      </x:c>
      <x:c r="B230" s="12" t="str">
        <x:v>EDU</x:v>
      </x:c>
      <x:c r="C230" s="12" t="str">
        <x:v>WP07</x:v>
      </x:c>
      <x:c r="D230" s="12" t="str">
        <x:v>부분 구현</x:v>
      </x:c>
      <x:c r="E230" s="12" t="str">
        <x:v>P1</x:v>
      </x:c>
      <x:c r="F230" s="12" t="str">
        <x:v>TLS·mTLS TCP 예제</x:v>
      </x:c>
      <x:c r="G230" s="12" t="str">
        <x:v>CPF가 공식 지원하는 기능별 그룹에 **TLS·mTLS TCP 예제** 기능을 제품 계약·기본 구현·실제 Consumer·운영 기능까지 연결한다. 단순 Interface, 화면 Route, Sample 문자열만으로 완료 처리하지 않는다.</x:v>
      </x:c>
      <x:c r="H230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30" s="12" t="str"/>
      <x:c r="J230" s="12" t="str">
        <x:v>WP01,WP08</x:v>
      </x:c>
      <x:c r="K230" s="12" t="str"/>
      <x:c r="L230" s="12" t="str">
        <x:v>WAS+MariaDB/Fake/Simulator</x:v>
      </x:c>
    </x:row>
    <x:row r="231">
      <x:c r="A231" s="12" t="str">
        <x:v>CPF-QA-D03-EDU-028</x:v>
      </x:c>
      <x:c r="B231" s="12" t="str">
        <x:v>EDU</x:v>
      </x:c>
      <x:c r="C231" s="12" t="str">
        <x:v>WP07</x:v>
      </x:c>
      <x:c r="D231" s="12" t="str">
        <x:v>부분 구현</x:v>
      </x:c>
      <x:c r="E231" s="12" t="str">
        <x:v>P1</x:v>
      </x:c>
      <x:c r="F231" s="12" t="str">
        <x:v>잘린 전문·초과길이·Encoding 오류 예제</x:v>
      </x:c>
      <x:c r="G231" s="12" t="str">
        <x:v>CPF가 공식 지원하는 기능별 그룹에 **잘린 전문·초과길이·Encoding 오류 예제** 기능을 제품 계약·기본 구현·실제 Consumer·운영 기능까지 연결한다. 단순 Interface, 화면 Route, Sample 문자열만으로 완료 처리하지 않는다.</x:v>
      </x:c>
      <x:c r="H231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31" s="12" t="str"/>
      <x:c r="J231" s="12" t="str">
        <x:v>WP01,WP08</x:v>
      </x:c>
      <x:c r="K231" s="12" t="str"/>
      <x:c r="L231" s="12" t="str">
        <x:v>WAS+MariaDB/Fake/Simulator</x:v>
      </x:c>
    </x:row>
    <x:row r="232">
      <x:c r="A232" s="12" t="str">
        <x:v>CPF-QA-D03-EDU-029</x:v>
      </x:c>
      <x:c r="B232" s="12" t="str">
        <x:v>EDU</x:v>
      </x:c>
      <x:c r="C232" s="12" t="str">
        <x:v>WP07</x:v>
      </x:c>
      <x:c r="D232" s="12" t="str">
        <x:v>부분 구현</x:v>
      </x:c>
      <x:c r="E232" s="12" t="str">
        <x:v>P1</x:v>
      </x:c>
      <x:c r="F232" s="12" t="str">
        <x:v>ISO8583 확장 Adapter 예제</x:v>
      </x:c>
      <x:c r="G232" s="12" t="str">
        <x:v>CPF가 공식 지원하는 기능별 그룹에 **ISO8583 확장 Adapter 예제** 기능을 제품 계약·기본 구현·실제 Consumer·운영 기능까지 연결한다. 단순 Interface, 화면 Route, Sample 문자열만으로 완료 처리하지 않는다.</x:v>
      </x:c>
      <x:c r="H232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32" s="12" t="str"/>
      <x:c r="J232" s="12" t="str">
        <x:v>WP01,WP08</x:v>
      </x:c>
      <x:c r="K232" s="12" t="str"/>
      <x:c r="L232" s="12" t="str">
        <x:v>WAS+MariaDB/Fake/Simulator</x:v>
      </x:c>
    </x:row>
    <x:row r="233">
      <x:c r="A233" s="12" t="str">
        <x:v>CPF-QA-D03-EDU-030</x:v>
      </x:c>
      <x:c r="B233" s="12" t="str">
        <x:v>EDU</x:v>
      </x:c>
      <x:c r="C233" s="12" t="str">
        <x:v>WP07</x:v>
      </x:c>
      <x:c r="D233" s="12" t="str">
        <x:v>부분 구현</x:v>
      </x:c>
      <x:c r="E233" s="12" t="str">
        <x:v>P1</x:v>
      </x:c>
      <x:c r="F233" s="12" t="str">
        <x:v>Typed HTTP Client 예제</x:v>
      </x:c>
      <x:c r="G233" s="12" t="str">
        <x:v>CPF가 공식 지원하는 기능별 그룹에 **Typed HTTP Client 예제** 기능을 제품 계약·기본 구현·실제 Consumer·운영 기능까지 연결한다. 단순 Interface, 화면 Route, Sample 문자열만으로 완료 처리하지 않는다.</x:v>
      </x:c>
      <x:c r="H233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33" s="12" t="str"/>
      <x:c r="J233" s="12" t="str">
        <x:v>WP01,WP08</x:v>
      </x:c>
      <x:c r="K233" s="12" t="str"/>
      <x:c r="L233" s="12" t="str">
        <x:v>WAS+MariaDB/Fake/Simulator</x:v>
      </x:c>
    </x:row>
    <x:row r="234">
      <x:c r="A234" s="12" t="str">
        <x:v>CPF-QA-D03-EDU-031</x:v>
      </x:c>
      <x:c r="B234" s="12" t="str">
        <x:v>EDU</x:v>
      </x:c>
      <x:c r="C234" s="12" t="str">
        <x:v>WP07</x:v>
      </x:c>
      <x:c r="D234" s="12" t="str">
        <x:v>부분 구현</x:v>
      </x:c>
      <x:c r="E234" s="12" t="str">
        <x:v>P1</x:v>
      </x:c>
      <x:c r="F234" s="12" t="str">
        <x:v>공통 Header·Trace 전파 예제</x:v>
      </x:c>
      <x:c r="G234" s="12" t="str">
        <x:v>CPF가 공식 지원하는 기능별 그룹에 **공통 Header·Trace 전파 예제** 기능을 제품 계약·기본 구현·실제 Consumer·운영 기능까지 연결한다. 단순 Interface, 화면 Route, Sample 문자열만으로 완료 처리하지 않는다.</x:v>
      </x:c>
      <x:c r="H234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34" s="12" t="str"/>
      <x:c r="J234" s="12" t="str">
        <x:v>WP01,WP08</x:v>
      </x:c>
      <x:c r="K234" s="12" t="str"/>
      <x:c r="L234" s="12" t="str">
        <x:v>WAS+MariaDB/Fake/Simulator</x:v>
      </x:c>
    </x:row>
    <x:row r="235">
      <x:c r="A235" s="12" t="str">
        <x:v>CPF-QA-D03-EDU-032</x:v>
      </x:c>
      <x:c r="B235" s="12" t="str">
        <x:v>EDU</x:v>
      </x:c>
      <x:c r="C235" s="12" t="str">
        <x:v>WP07</x:v>
      </x:c>
      <x:c r="D235" s="12" t="str">
        <x:v>부분 구현</x:v>
      </x:c>
      <x:c r="E235" s="12" t="str">
        <x:v>P1</x:v>
      </x:c>
      <x:c r="F235" s="12" t="str">
        <x:v>OAuth2·API Key·mTLS HTTP 예제</x:v>
      </x:c>
      <x:c r="G235" s="12" t="str">
        <x:v>CPF가 공식 지원하는 기능별 그룹에 **OAuth2·API Key·mTLS HTTP 예제** 기능을 제품 계약·기본 구현·실제 Consumer·운영 기능까지 연결한다. 단순 Interface, 화면 Route, Sample 문자열만으로 완료 처리하지 않는다.</x:v>
      </x:c>
      <x:c r="H235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35" s="12" t="str"/>
      <x:c r="J235" s="12" t="str">
        <x:v>WP01,WP08</x:v>
      </x:c>
      <x:c r="K235" s="12" t="str"/>
      <x:c r="L235" s="12" t="str">
        <x:v>WAS+MariaDB/Fake/Simulator</x:v>
      </x:c>
    </x:row>
    <x:row r="236">
      <x:c r="A236" s="12" t="str">
        <x:v>CPF-QA-D03-EDU-033</x:v>
      </x:c>
      <x:c r="B236" s="12" t="str">
        <x:v>EDU</x:v>
      </x:c>
      <x:c r="C236" s="12" t="str">
        <x:v>WP07</x:v>
      </x:c>
      <x:c r="D236" s="12" t="str">
        <x:v>부분 구현</x:v>
      </x:c>
      <x:c r="E236" s="12" t="str">
        <x:v>P1</x:v>
      </x:c>
      <x:c r="F236" s="12" t="str">
        <x:v>Multipart·대용량 Streaming 예제</x:v>
      </x:c>
      <x:c r="G236" s="12" t="str">
        <x:v>CPF가 공식 지원하는 기능별 그룹에 **Multipart·대용량 Streaming 예제** 기능을 제품 계약·기본 구현·실제 Consumer·운영 기능까지 연결한다. 단순 Interface, 화면 Route, Sample 문자열만으로 완료 처리하지 않는다.</x:v>
      </x:c>
      <x:c r="H236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36" s="12" t="str"/>
      <x:c r="J236" s="12" t="str">
        <x:v>WP01,WP08</x:v>
      </x:c>
      <x:c r="K236" s="12" t="str"/>
      <x:c r="L236" s="12" t="str">
        <x:v>WAS+MariaDB/Fake/Simulator</x:v>
      </x:c>
    </x:row>
    <x:row r="237">
      <x:c r="A237" s="12" t="str">
        <x:v>CPF-QA-D03-EDU-034</x:v>
      </x:c>
      <x:c r="B237" s="12" t="str">
        <x:v>EDU</x:v>
      </x:c>
      <x:c r="C237" s="12" t="str">
        <x:v>WP07</x:v>
      </x:c>
      <x:c r="D237" s="12" t="str">
        <x:v>부분 구현</x:v>
      </x:c>
      <x:c r="E237" s="12" t="str">
        <x:v>P1</x:v>
      </x:c>
      <x:c r="F237" s="12" t="str">
        <x:v>Pagination 전체 수집 예제</x:v>
      </x:c>
      <x:c r="G237" s="12" t="str">
        <x:v>CPF가 공식 지원하는 기능별 그룹에 **Pagination 전체 수집 예제** 기능을 제품 계약·기본 구현·실제 Consumer·운영 기능까지 연결한다. 단순 Interface, 화면 Route, Sample 문자열만으로 완료 처리하지 않는다.</x:v>
      </x:c>
      <x:c r="H237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37" s="12" t="str"/>
      <x:c r="J237" s="12" t="str">
        <x:v>WP01,WP08</x:v>
      </x:c>
      <x:c r="K237" s="12" t="str"/>
      <x:c r="L237" s="12" t="str">
        <x:v>WAS+MariaDB/Fake/Simulator</x:v>
      </x:c>
    </x:row>
    <x:row r="238">
      <x:c r="A238" s="12" t="str">
        <x:v>CPF-QA-D03-EDU-035</x:v>
      </x:c>
      <x:c r="B238" s="12" t="str">
        <x:v>EDU</x:v>
      </x:c>
      <x:c r="C238" s="12" t="str">
        <x:v>WP07</x:v>
      </x:c>
      <x:c r="D238" s="12" t="str">
        <x:v>부분 구현</x:v>
      </x:c>
      <x:c r="E238" s="12" t="str">
        <x:v>P1</x:v>
      </x:c>
      <x:c r="F238" s="12" t="str">
        <x:v>Rate Limit·Retry-After 예제</x:v>
      </x:c>
      <x:c r="G238" s="12" t="str">
        <x:v>CPF가 공식 지원하는 기능별 그룹에 **Rate Limit·Retry-After 예제** 기능을 제품 계약·기본 구현·실제 Consumer·운영 기능까지 연결한다. 단순 Interface, 화면 Route, Sample 문자열만으로 완료 처리하지 않는다.</x:v>
      </x:c>
      <x:c r="H238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38" s="12" t="str"/>
      <x:c r="J238" s="12" t="str">
        <x:v>WP01,WP08</x:v>
      </x:c>
      <x:c r="K238" s="12" t="str"/>
      <x:c r="L238" s="12" t="str">
        <x:v>WAS+MariaDB/Fake/Simulator</x:v>
      </x:c>
    </x:row>
    <x:row r="239">
      <x:c r="A239" s="12" t="str">
        <x:v>CPF-QA-D03-EDU-036</x:v>
      </x:c>
      <x:c r="B239" s="12" t="str">
        <x:v>EDU</x:v>
      </x:c>
      <x:c r="C239" s="12" t="str">
        <x:v>WP07</x:v>
      </x:c>
      <x:c r="D239" s="12" t="str">
        <x:v>부분 구현</x:v>
      </x:c>
      <x:c r="E239" s="12" t="str">
        <x:v>P1</x:v>
      </x:c>
      <x:c r="F239" s="12" t="str">
        <x:v>SOAP Fault Mapping 예제</x:v>
      </x:c>
      <x:c r="G239" s="12" t="str">
        <x:v>CPF가 공식 지원하는 기능별 그룹에 **SOAP Fault Mapping 예제** 기능을 제품 계약·기본 구현·실제 Consumer·운영 기능까지 연결한다. 단순 Interface, 화면 Route, Sample 문자열만으로 완료 처리하지 않는다.</x:v>
      </x:c>
      <x:c r="H239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39" s="12" t="str"/>
      <x:c r="J239" s="12" t="str">
        <x:v>WP01,WP08</x:v>
      </x:c>
      <x:c r="K239" s="12" t="str"/>
      <x:c r="L239" s="12" t="str">
        <x:v>WAS+MariaDB/Fake/Simulator</x:v>
      </x:c>
    </x:row>
    <x:row r="240">
      <x:c r="A240" s="12" t="str">
        <x:v>CPF-QA-D03-EDU-037</x:v>
      </x:c>
      <x:c r="B240" s="12" t="str">
        <x:v>EDU</x:v>
      </x:c>
      <x:c r="C240" s="12" t="str">
        <x:v>WP07</x:v>
      </x:c>
      <x:c r="D240" s="12" t="str">
        <x:v>부분 구현</x:v>
      </x:c>
      <x:c r="E240" s="12" t="str">
        <x:v>P1</x:v>
      </x:c>
      <x:c r="F240" s="12" t="str">
        <x:v>XML/XSD 검증·XXE 방어 예제</x:v>
      </x:c>
      <x:c r="G240" s="12" t="str">
        <x:v>CPF가 공식 지원하는 기능별 그룹에 **XML/XSD 검증·XXE 방어 예제** 기능을 제품 계약·기본 구현·실제 Consumer·운영 기능까지 연결한다. 단순 Interface, 화면 Route, Sample 문자열만으로 완료 처리하지 않는다.</x:v>
      </x:c>
      <x:c r="H240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40" s="12" t="str"/>
      <x:c r="J240" s="12" t="str">
        <x:v>WP01,WP08</x:v>
      </x:c>
      <x:c r="K240" s="12" t="str"/>
      <x:c r="L240" s="12" t="str">
        <x:v>WAS+MariaDB/Fake/Simulator</x:v>
      </x:c>
    </x:row>
    <x:row r="241">
      <x:c r="A241" s="12" t="str">
        <x:v>CPF-QA-D03-EDU-038</x:v>
      </x:c>
      <x:c r="B241" s="12" t="str">
        <x:v>EDU</x:v>
      </x:c>
      <x:c r="C241" s="12" t="str">
        <x:v>WP07</x:v>
      </x:c>
      <x:c r="D241" s="12" t="str">
        <x:v>부분 구현</x:v>
      </x:c>
      <x:c r="E241" s="12" t="str">
        <x:v>P1</x:v>
      </x:c>
      <x:c r="F241" s="12" t="str">
        <x:v>gRPC Unary 예제</x:v>
      </x:c>
      <x:c r="G241" s="12" t="str">
        <x:v>CPF가 공식 지원하는 기능별 그룹에 **gRPC Unary 예제** 기능을 제품 계약·기본 구현·실제 Consumer·운영 기능까지 연결한다. 단순 Interface, 화면 Route, Sample 문자열만으로 완료 처리하지 않는다.</x:v>
      </x:c>
      <x:c r="H241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41" s="12" t="str"/>
      <x:c r="J241" s="12" t="str">
        <x:v>WP01,WP08</x:v>
      </x:c>
      <x:c r="K241" s="12" t="str"/>
      <x:c r="L241" s="12" t="str">
        <x:v>WAS+MariaDB/Fake/Simulator</x:v>
      </x:c>
    </x:row>
    <x:row r="242">
      <x:c r="A242" s="12" t="str">
        <x:v>CPF-QA-D03-EDU-039</x:v>
      </x:c>
      <x:c r="B242" s="12" t="str">
        <x:v>EDU</x:v>
      </x:c>
      <x:c r="C242" s="12" t="str">
        <x:v>WP07</x:v>
      </x:c>
      <x:c r="D242" s="12" t="str">
        <x:v>부분 구현</x:v>
      </x:c>
      <x:c r="E242" s="12" t="str">
        <x:v>P1</x:v>
      </x:c>
      <x:c r="F242" s="12" t="str">
        <x:v>gRPC Server Streaming 예제</x:v>
      </x:c>
      <x:c r="G242" s="12" t="str">
        <x:v>CPF가 공식 지원하는 기능별 그룹에 **gRPC Server Streaming 예제** 기능을 제품 계약·기본 구현·실제 Consumer·운영 기능까지 연결한다. 단순 Interface, 화면 Route, Sample 문자열만으로 완료 처리하지 않는다.</x:v>
      </x:c>
      <x:c r="H242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42" s="12" t="str"/>
      <x:c r="J242" s="12" t="str">
        <x:v>WP01,WP08</x:v>
      </x:c>
      <x:c r="K242" s="12" t="str"/>
      <x:c r="L242" s="12" t="str">
        <x:v>WAS+MariaDB/Fake/Simulator</x:v>
      </x:c>
    </x:row>
    <x:row r="243">
      <x:c r="A243" s="12" t="str">
        <x:v>CPF-QA-D03-EDU-040</x:v>
      </x:c>
      <x:c r="B243" s="12" t="str">
        <x:v>EDU</x:v>
      </x:c>
      <x:c r="C243" s="12" t="str">
        <x:v>WP07</x:v>
      </x:c>
      <x:c r="D243" s="12" t="str">
        <x:v>부분 구현</x:v>
      </x:c>
      <x:c r="E243" s="12" t="str">
        <x:v>P1</x:v>
      </x:c>
      <x:c r="F243" s="12" t="str">
        <x:v>Deadline·Cancellation 예제</x:v>
      </x:c>
      <x:c r="G243" s="12" t="str">
        <x:v>CPF가 공식 지원하는 기능별 그룹에 **Deadline·Cancellation 예제** 기능을 제품 계약·기본 구현·실제 Consumer·운영 기능까지 연결한다. 단순 Interface, 화면 Route, Sample 문자열만으로 완료 처리하지 않는다.</x:v>
      </x:c>
      <x:c r="H243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43" s="12" t="str"/>
      <x:c r="J243" s="12" t="str">
        <x:v>WP01,WP08</x:v>
      </x:c>
      <x:c r="K243" s="12" t="str"/>
      <x:c r="L243" s="12" t="str">
        <x:v>WAS+MariaDB/Fake/Simulator</x:v>
      </x:c>
    </x:row>
    <x:row r="244">
      <x:c r="A244" s="12" t="str">
        <x:v>CPF-QA-D03-EDU-041</x:v>
      </x:c>
      <x:c r="B244" s="12" t="str">
        <x:v>EDU</x:v>
      </x:c>
      <x:c r="C244" s="12" t="str">
        <x:v>WP07</x:v>
      </x:c>
      <x:c r="D244" s="12" t="str">
        <x:v>부분 구현</x:v>
      </x:c>
      <x:c r="E244" s="12" t="str">
        <x:v>P1</x:v>
      </x:c>
      <x:c r="F244" s="12" t="str">
        <x:v>API Version 호환 예제</x:v>
      </x:c>
      <x:c r="G244" s="12" t="str">
        <x:v>CPF가 공식 지원하는 기능별 그룹에 **API Version 호환 예제** 기능을 제품 계약·기본 구현·실제 Consumer·운영 기능까지 연결한다. 단순 Interface, 화면 Route, Sample 문자열만으로 완료 처리하지 않는다.</x:v>
      </x:c>
      <x:c r="H244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44" s="12" t="str"/>
      <x:c r="J244" s="12" t="str">
        <x:v>WP01,WP08</x:v>
      </x:c>
      <x:c r="K244" s="12" t="str"/>
      <x:c r="L244" s="12" t="str">
        <x:v>WAS+MariaDB/Fake/Simulator</x:v>
      </x:c>
    </x:row>
    <x:row r="245">
      <x:c r="A245" s="12" t="str">
        <x:v>CPF-QA-D03-EDU-042</x:v>
      </x:c>
      <x:c r="B245" s="12" t="str">
        <x:v>EDU</x:v>
      </x:c>
      <x:c r="C245" s="12" t="str">
        <x:v>WP07</x:v>
      </x:c>
      <x:c r="D245" s="12" t="str">
        <x:v>부분 구현</x:v>
      </x:c>
      <x:c r="E245" s="12" t="str">
        <x:v>P1</x:v>
      </x:c>
      <x:c r="F245" s="12" t="str">
        <x:v>Kafka Produce·Consume 예제</x:v>
      </x:c>
      <x:c r="G245" s="12" t="str">
        <x:v>CPF가 공식 지원하는 기능별 그룹에 **Kafka Produce·Consume 예제** 기능을 제품 계약·기본 구현·실제 Consumer·운영 기능까지 연결한다. 단순 Interface, 화면 Route, Sample 문자열만으로 완료 처리하지 않는다.</x:v>
      </x:c>
      <x:c r="H245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45" s="12" t="str"/>
      <x:c r="J245" s="12" t="str">
        <x:v>WP01,WP08</x:v>
      </x:c>
      <x:c r="K245" s="12" t="str"/>
      <x:c r="L245" s="12" t="str">
        <x:v>WAS+MariaDB/Fake/Simulator</x:v>
      </x:c>
    </x:row>
    <x:row r="246">
      <x:c r="A246" s="12" t="str">
        <x:v>CPF-QA-D03-EDU-043</x:v>
      </x:c>
      <x:c r="B246" s="12" t="str">
        <x:v>EDU</x:v>
      </x:c>
      <x:c r="C246" s="12" t="str">
        <x:v>WP07</x:v>
      </x:c>
      <x:c r="D246" s="12" t="str">
        <x:v>부분 구현</x:v>
      </x:c>
      <x:c r="E246" s="12" t="str">
        <x:v>P1</x:v>
      </x:c>
      <x:c r="F246" s="12" t="str">
        <x:v>RabbitMQ Adapter 예제</x:v>
      </x:c>
      <x:c r="G246" s="12" t="str">
        <x:v>CPF가 공식 지원하는 기능별 그룹에 **RabbitMQ Adapter 예제** 기능을 제품 계약·기본 구현·실제 Consumer·운영 기능까지 연결한다. 단순 Interface, 화면 Route, Sample 문자열만으로 완료 처리하지 않는다.</x:v>
      </x:c>
      <x:c r="H246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46" s="12" t="str"/>
      <x:c r="J246" s="12" t="str">
        <x:v>WP01,WP08</x:v>
      </x:c>
      <x:c r="K246" s="12" t="str"/>
      <x:c r="L246" s="12" t="str">
        <x:v>WAS+MariaDB/Fake/Simulator</x:v>
      </x:c>
    </x:row>
    <x:row r="247">
      <x:c r="A247" s="12" t="str">
        <x:v>CPF-QA-D03-EDU-044</x:v>
      </x:c>
      <x:c r="B247" s="12" t="str">
        <x:v>EDU</x:v>
      </x:c>
      <x:c r="C247" s="12" t="str">
        <x:v>WP07</x:v>
      </x:c>
      <x:c r="D247" s="12" t="str">
        <x:v>부분 구현</x:v>
      </x:c>
      <x:c r="E247" s="12" t="str">
        <x:v>P1</x:v>
      </x:c>
      <x:c r="F247" s="12" t="str">
        <x:v>JMS Adapter 예제</x:v>
      </x:c>
      <x:c r="G247" s="12" t="str">
        <x:v>CPF가 공식 지원하는 기능별 그룹에 **JMS Adapter 예제** 기능을 제품 계약·기본 구현·실제 Consumer·운영 기능까지 연결한다. 단순 Interface, 화면 Route, Sample 문자열만으로 완료 처리하지 않는다.</x:v>
      </x:c>
      <x:c r="H247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47" s="12" t="str"/>
      <x:c r="J247" s="12" t="str">
        <x:v>WP01,WP08</x:v>
      </x:c>
      <x:c r="K247" s="12" t="str"/>
      <x:c r="L247" s="12" t="str">
        <x:v>WAS+MariaDB/Fake/Simulator</x:v>
      </x:c>
    </x:row>
    <x:row r="248">
      <x:c r="A248" s="12" t="str">
        <x:v>CPF-QA-D03-EDU-045</x:v>
      </x:c>
      <x:c r="B248" s="12" t="str">
        <x:v>EDU</x:v>
      </x:c>
      <x:c r="C248" s="12" t="str">
        <x:v>WP07</x:v>
      </x:c>
      <x:c r="D248" s="12" t="str">
        <x:v>부분 구현</x:v>
      </x:c>
      <x:c r="E248" s="12" t="str">
        <x:v>P1</x:v>
      </x:c>
      <x:c r="F248" s="12" t="str">
        <x:v>Consumer Group 병렬 예제</x:v>
      </x:c>
      <x:c r="G248" s="12" t="str">
        <x:v>CPF가 공식 지원하는 기능별 그룹에 **Consumer Group 병렬 예제** 기능을 제품 계약·기본 구현·실제 Consumer·운영 기능까지 연결한다. 단순 Interface, 화면 Route, Sample 문자열만으로 완료 처리하지 않는다.</x:v>
      </x:c>
      <x:c r="H248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48" s="12" t="str"/>
      <x:c r="J248" s="12" t="str">
        <x:v>WP01,WP08</x:v>
      </x:c>
      <x:c r="K248" s="12" t="str"/>
      <x:c r="L248" s="12" t="str">
        <x:v>WAS+MariaDB/Fake/Simulator</x:v>
      </x:c>
    </x:row>
    <x:row r="249">
      <x:c r="A249" s="12" t="str">
        <x:v>CPF-QA-D03-EDU-046</x:v>
      </x:c>
      <x:c r="B249" s="12" t="str">
        <x:v>EDU</x:v>
      </x:c>
      <x:c r="C249" s="12" t="str">
        <x:v>WP07</x:v>
      </x:c>
      <x:c r="D249" s="12" t="str">
        <x:v>부분 구현</x:v>
      </x:c>
      <x:c r="E249" s="12" t="str">
        <x:v>P1</x:v>
      </x:c>
      <x:c r="F249" s="12" t="str">
        <x:v>메시지 순서 보장 예제</x:v>
      </x:c>
      <x:c r="G249" s="12" t="str">
        <x:v>CPF가 공식 지원하는 기능별 그룹에 **메시지 순서 보장 예제** 기능을 제품 계약·기본 구현·실제 Consumer·운영 기능까지 연결한다. 단순 Interface, 화면 Route, Sample 문자열만으로 완료 처리하지 않는다.</x:v>
      </x:c>
      <x:c r="H249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49" s="12" t="str"/>
      <x:c r="J249" s="12" t="str">
        <x:v>WP01,WP08</x:v>
      </x:c>
      <x:c r="K249" s="12" t="str"/>
      <x:c r="L249" s="12" t="str">
        <x:v>WAS+MariaDB/Fake/Simulator</x:v>
      </x:c>
    </x:row>
    <x:row r="250">
      <x:c r="A250" s="12" t="str">
        <x:v>CPF-QA-D03-EDU-047</x:v>
      </x:c>
      <x:c r="B250" s="12" t="str">
        <x:v>EDU</x:v>
      </x:c>
      <x:c r="C250" s="12" t="str">
        <x:v>WP07</x:v>
      </x:c>
      <x:c r="D250" s="12" t="str">
        <x:v>부분 구현</x:v>
      </x:c>
      <x:c r="E250" s="12" t="str">
        <x:v>P1</x:v>
      </x:c>
      <x:c r="F250" s="12" t="str">
        <x:v>중복 메시지 Inbox 예제</x:v>
      </x:c>
      <x:c r="G250" s="12" t="str">
        <x:v>CPF가 공식 지원하는 기능별 그룹에 **중복 메시지 Inbox 예제** 기능을 제품 계약·기본 구현·실제 Consumer·운영 기능까지 연결한다. 단순 Interface, 화면 Route, Sample 문자열만으로 완료 처리하지 않는다.</x:v>
      </x:c>
      <x:c r="H250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50" s="12" t="str"/>
      <x:c r="J250" s="12" t="str">
        <x:v>WP01,WP08</x:v>
      </x:c>
      <x:c r="K250" s="12" t="str"/>
      <x:c r="L250" s="12" t="str">
        <x:v>WAS+MariaDB/Fake/Simulator</x:v>
      </x:c>
    </x:row>
    <x:row r="251">
      <x:c r="A251" s="12" t="str">
        <x:v>CPF-QA-D03-EDU-048</x:v>
      </x:c>
      <x:c r="B251" s="12" t="str">
        <x:v>EDU</x:v>
      </x:c>
      <x:c r="C251" s="12" t="str">
        <x:v>WP07</x:v>
      </x:c>
      <x:c r="D251" s="12" t="str">
        <x:v>부분 구현</x:v>
      </x:c>
      <x:c r="E251" s="12" t="str">
        <x:v>P1</x:v>
      </x:c>
      <x:c r="F251" s="12" t="str">
        <x:v>Poison Message·DLQ 예제</x:v>
      </x:c>
      <x:c r="G251" s="12" t="str">
        <x:v>CPF가 공식 지원하는 기능별 그룹에 **Poison Message·DLQ 예제** 기능을 제품 계약·기본 구현·실제 Consumer·운영 기능까지 연결한다. 단순 Interface, 화면 Route, Sample 문자열만으로 완료 처리하지 않는다.</x:v>
      </x:c>
      <x:c r="H251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51" s="12" t="str"/>
      <x:c r="J251" s="12" t="str">
        <x:v>WP01,WP08</x:v>
      </x:c>
      <x:c r="K251" s="12" t="str"/>
      <x:c r="L251" s="12" t="str">
        <x:v>WAS+MariaDB/Fake/Simulator</x:v>
      </x:c>
    </x:row>
    <x:row r="252">
      <x:c r="A252" s="12" t="str">
        <x:v>CPF-QA-D03-EDU-049</x:v>
      </x:c>
      <x:c r="B252" s="12" t="str">
        <x:v>EDU</x:v>
      </x:c>
      <x:c r="C252" s="12" t="str">
        <x:v>WP07</x:v>
      </x:c>
      <x:c r="D252" s="12" t="str">
        <x:v>부분 구현</x:v>
      </x:c>
      <x:c r="E252" s="12" t="str">
        <x:v>P1</x:v>
      </x:c>
      <x:c r="F252" s="12" t="str">
        <x:v>DLQ 선택 재처리 예제</x:v>
      </x:c>
      <x:c r="G252" s="12" t="str">
        <x:v>CPF가 공식 지원하는 기능별 그룹에 **DLQ 선택 재처리 예제** 기능을 제품 계약·기본 구현·실제 Consumer·운영 기능까지 연결한다. 단순 Interface, 화면 Route, Sample 문자열만으로 완료 처리하지 않는다.</x:v>
      </x:c>
      <x:c r="H252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52" s="12" t="str"/>
      <x:c r="J252" s="12" t="str">
        <x:v>WP01,WP08</x:v>
      </x:c>
      <x:c r="K252" s="12" t="str"/>
      <x:c r="L252" s="12" t="str">
        <x:v>WAS+MariaDB/Fake/Simulator</x:v>
      </x:c>
    </x:row>
    <x:row r="253">
      <x:c r="A253" s="12" t="str">
        <x:v>CPF-QA-D03-EDU-050</x:v>
      </x:c>
      <x:c r="B253" s="12" t="str">
        <x:v>EDU</x:v>
      </x:c>
      <x:c r="C253" s="12" t="str">
        <x:v>WP07</x:v>
      </x:c>
      <x:c r="D253" s="12" t="str">
        <x:v>부분 구현</x:v>
      </x:c>
      <x:c r="E253" s="12" t="str">
        <x:v>P1</x:v>
      </x:c>
      <x:c r="F253" s="12" t="str">
        <x:v>지연 재시도 예제</x:v>
      </x:c>
      <x:c r="G253" s="12" t="str">
        <x:v>CPF가 공식 지원하는 기능별 그룹에 **지연 재시도 예제** 기능을 제품 계약·기본 구현·실제 Consumer·운영 기능까지 연결한다. 단순 Interface, 화면 Route, Sample 문자열만으로 완료 처리하지 않는다.</x:v>
      </x:c>
      <x:c r="H253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53" s="12" t="str"/>
      <x:c r="J253" s="12" t="str">
        <x:v>WP01,WP08</x:v>
      </x:c>
      <x:c r="K253" s="12" t="str"/>
      <x:c r="L253" s="12" t="str">
        <x:v>WAS+MariaDB/Fake/Simulator</x:v>
      </x:c>
    </x:row>
    <x:row r="254">
      <x:c r="A254" s="12" t="str">
        <x:v>CPF-QA-D03-EDU-051</x:v>
      </x:c>
      <x:c r="B254" s="12" t="str">
        <x:v>EDU</x:v>
      </x:c>
      <x:c r="C254" s="12" t="str">
        <x:v>WP07</x:v>
      </x:c>
      <x:c r="D254" s="12" t="str">
        <x:v>부분 구현</x:v>
      </x:c>
      <x:c r="E254" s="12" t="str">
        <x:v>P1</x:v>
      </x:c>
      <x:c r="F254" s="12" t="str">
        <x:v>Replay 범위 지정 예제</x:v>
      </x:c>
      <x:c r="G254" s="12" t="str">
        <x:v>CPF가 공식 지원하는 기능별 그룹에 **Replay 범위 지정 예제** 기능을 제품 계약·기본 구현·실제 Consumer·운영 기능까지 연결한다. 단순 Interface, 화면 Route, Sample 문자열만으로 완료 처리하지 않는다.</x:v>
      </x:c>
      <x:c r="H254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54" s="12" t="str"/>
      <x:c r="J254" s="12" t="str">
        <x:v>WP01,WP08</x:v>
      </x:c>
      <x:c r="K254" s="12" t="str"/>
      <x:c r="L254" s="12" t="str">
        <x:v>WAS+MariaDB/Fake/Simulator</x:v>
      </x:c>
    </x:row>
    <x:row r="255">
      <x:c r="A255" s="12" t="str">
        <x:v>CPF-QA-D03-EDU-052</x:v>
      </x:c>
      <x:c r="B255" s="12" t="str">
        <x:v>EDU</x:v>
      </x:c>
      <x:c r="C255" s="12" t="str">
        <x:v>WP07</x:v>
      </x:c>
      <x:c r="D255" s="12" t="str">
        <x:v>부분 구현</x:v>
      </x:c>
      <x:c r="E255" s="12" t="str">
        <x:v>P1</x:v>
      </x:c>
      <x:c r="F255" s="12" t="str">
        <x:v>Schema Version 변경 예제</x:v>
      </x:c>
      <x:c r="G255" s="12" t="str">
        <x:v>CPF가 공식 지원하는 기능별 그룹에 **Schema Version 변경 예제** 기능을 제품 계약·기본 구현·실제 Consumer·운영 기능까지 연결한다. 단순 Interface, 화면 Route, Sample 문자열만으로 완료 처리하지 않는다.</x:v>
      </x:c>
      <x:c r="H255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55" s="12" t="str"/>
      <x:c r="J255" s="12" t="str">
        <x:v>WP01,WP08</x:v>
      </x:c>
      <x:c r="K255" s="12" t="str"/>
      <x:c r="L255" s="12" t="str">
        <x:v>WAS+MariaDB/Fake/Simulator</x:v>
      </x:c>
    </x:row>
    <x:row r="256">
      <x:c r="A256" s="12" t="str">
        <x:v>CPF-QA-D03-EDU-053</x:v>
      </x:c>
      <x:c r="B256" s="12" t="str">
        <x:v>EDU</x:v>
      </x:c>
      <x:c r="C256" s="12" t="str">
        <x:v>WP07</x:v>
      </x:c>
      <x:c r="D256" s="12" t="str">
        <x:v>부분 구현</x:v>
      </x:c>
      <x:c r="E256" s="12" t="str">
        <x:v>P1</x:v>
      </x:c>
      <x:c r="F256" s="12" t="str">
        <x:v>Consumer Lag 예제</x:v>
      </x:c>
      <x:c r="G256" s="12" t="str">
        <x:v>CPF가 공식 지원하는 기능별 그룹에 **Consumer Lag 예제** 기능을 제품 계약·기본 구현·실제 Consumer·운영 기능까지 연결한다. 단순 Interface, 화면 Route, Sample 문자열만으로 완료 처리하지 않는다.</x:v>
      </x:c>
      <x:c r="H256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56" s="12" t="str"/>
      <x:c r="J256" s="12" t="str">
        <x:v>WP01,WP08</x:v>
      </x:c>
      <x:c r="K256" s="12" t="str"/>
      <x:c r="L256" s="12" t="str">
        <x:v>WAS+MariaDB/Fake/Simulator</x:v>
      </x:c>
    </x:row>
    <x:row r="257">
      <x:c r="A257" s="12" t="str">
        <x:v>CPF-QA-D03-EDU-054</x:v>
      </x:c>
      <x:c r="B257" s="12" t="str">
        <x:v>EDU</x:v>
      </x:c>
      <x:c r="C257" s="12" t="str">
        <x:v>WP07</x:v>
      </x:c>
      <x:c r="D257" s="12" t="str">
        <x:v>부분 구현</x:v>
      </x:c>
      <x:c r="E257" s="12" t="str">
        <x:v>P1</x:v>
      </x:c>
      <x:c r="F257" s="12" t="str">
        <x:v>Broker 장애 복구 Simulator 예제</x:v>
      </x:c>
      <x:c r="G257" s="12" t="str">
        <x:v>CPF가 공식 지원하는 기능별 그룹에 **Broker 장애 복구 Simulator 예제** 기능을 제품 계약·기본 구현·실제 Consumer·운영 기능까지 연결한다. 단순 Interface, 화면 Route, Sample 문자열만으로 완료 처리하지 않는다.</x:v>
      </x:c>
      <x:c r="H257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57" s="12" t="str"/>
      <x:c r="J257" s="12" t="str">
        <x:v>WP01,WP08</x:v>
      </x:c>
      <x:c r="K257" s="12" t="str"/>
      <x:c r="L257" s="12" t="str">
        <x:v>WAS+MariaDB/Fake/Simulator</x:v>
      </x:c>
    </x:row>
    <x:row r="258">
      <x:c r="A258" s="12" t="str">
        <x:v>CPF-QA-D03-EDU-055</x:v>
      </x:c>
      <x:c r="B258" s="12" t="str">
        <x:v>EDU</x:v>
      </x:c>
      <x:c r="C258" s="12" t="str">
        <x:v>WP07</x:v>
      </x:c>
      <x:c r="D258" s="12" t="str">
        <x:v>부분 구현</x:v>
      </x:c>
      <x:c r="E258" s="12" t="str">
        <x:v>P1</x:v>
      </x:c>
      <x:c r="F258" s="12" t="str">
        <x:v>Transactional Outbox 전송 예제</x:v>
      </x:c>
      <x:c r="G258" s="12" t="str">
        <x:v>CPF가 공식 지원하는 기능별 그룹에 **Transactional Outbox 전송 예제** 기능을 제품 계약·기본 구현·실제 Consumer·운영 기능까지 연결한다. 단순 Interface, 화면 Route, Sample 문자열만으로 완료 처리하지 않는다.</x:v>
      </x:c>
      <x:c r="H258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58" s="12" t="str"/>
      <x:c r="J258" s="12" t="str">
        <x:v>WP01,WP08</x:v>
      </x:c>
      <x:c r="K258" s="12" t="str"/>
      <x:c r="L258" s="12" t="str">
        <x:v>WAS+MariaDB/Fake/Simulator</x:v>
      </x:c>
    </x:row>
    <x:row r="259">
      <x:c r="A259" s="12" t="str">
        <x:v>CPF-QA-D03-EDU-056</x:v>
      </x:c>
      <x:c r="B259" s="12" t="str">
        <x:v>EDU</x:v>
      </x:c>
      <x:c r="C259" s="12" t="str">
        <x:v>WP07</x:v>
      </x:c>
      <x:c r="D259" s="12" t="str">
        <x:v>부분 구현</x:v>
      </x:c>
      <x:c r="E259" s="12" t="str">
        <x:v>P1</x:v>
      </x:c>
      <x:c r="F259" s="12" t="str">
        <x:v>Redis Cache Aside 예제</x:v>
      </x:c>
      <x:c r="G259" s="12" t="str">
        <x:v>CPF가 공식 지원하는 기능별 그룹에 **Redis Cache Aside 예제** 기능을 제품 계약·기본 구현·실제 Consumer·운영 기능까지 연결한다. 단순 Interface, 화면 Route, Sample 문자열만으로 완료 처리하지 않는다.</x:v>
      </x:c>
      <x:c r="H259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59" s="12" t="str"/>
      <x:c r="J259" s="12" t="str">
        <x:v>WP01,WP08</x:v>
      </x:c>
      <x:c r="K259" s="12" t="str"/>
      <x:c r="L259" s="12" t="str">
        <x:v>WAS+MariaDB/Fake/Simulator</x:v>
      </x:c>
    </x:row>
    <x:row r="260">
      <x:c r="A260" s="12" t="str">
        <x:v>CPF-QA-D03-EDU-057</x:v>
      </x:c>
      <x:c r="B260" s="12" t="str">
        <x:v>EDU</x:v>
      </x:c>
      <x:c r="C260" s="12" t="str">
        <x:v>WP07</x:v>
      </x:c>
      <x:c r="D260" s="12" t="str">
        <x:v>부분 구현</x:v>
      </x:c>
      <x:c r="E260" s="12" t="str">
        <x:v>P1</x:v>
      </x:c>
      <x:c r="F260" s="12" t="str">
        <x:v>Redis TTL·Eviction 예제</x:v>
      </x:c>
      <x:c r="G260" s="12" t="str">
        <x:v>CPF가 공식 지원하는 기능별 그룹에 **Redis TTL·Eviction 예제** 기능을 제품 계약·기본 구현·실제 Consumer·운영 기능까지 연결한다. 단순 Interface, 화면 Route, Sample 문자열만으로 완료 처리하지 않는다.</x:v>
      </x:c>
      <x:c r="H260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60" s="12" t="str"/>
      <x:c r="J260" s="12" t="str">
        <x:v>WP01,WP08</x:v>
      </x:c>
      <x:c r="K260" s="12" t="str"/>
      <x:c r="L260" s="12" t="str">
        <x:v>WAS+MariaDB/Fake/Simulator</x:v>
      </x:c>
    </x:row>
    <x:row r="261">
      <x:c r="A261" s="12" t="str">
        <x:v>CPF-QA-D03-EDU-058</x:v>
      </x:c>
      <x:c r="B261" s="12" t="str">
        <x:v>EDU</x:v>
      </x:c>
      <x:c r="C261" s="12" t="str">
        <x:v>WP07</x:v>
      </x:c>
      <x:c r="D261" s="12" t="str">
        <x:v>부분 구현</x:v>
      </x:c>
      <x:c r="E261" s="12" t="str">
        <x:v>P1</x:v>
      </x:c>
      <x:c r="F261" s="12" t="str">
        <x:v>Cache Stampede 방지 예제</x:v>
      </x:c>
      <x:c r="G261" s="12" t="str">
        <x:v>CPF가 공식 지원하는 기능별 그룹에 **Cache Stampede 방지 예제** 기능을 제품 계약·기본 구현·실제 Consumer·운영 기능까지 연결한다. 단순 Interface, 화면 Route, Sample 문자열만으로 완료 처리하지 않는다.</x:v>
      </x:c>
      <x:c r="H261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61" s="12" t="str"/>
      <x:c r="J261" s="12" t="str">
        <x:v>WP01,WP08</x:v>
      </x:c>
      <x:c r="K261" s="12" t="str"/>
      <x:c r="L261" s="12" t="str">
        <x:v>WAS+MariaDB/Fake/Simulator</x:v>
      </x:c>
    </x:row>
    <x:row r="262">
      <x:c r="A262" s="12" t="str">
        <x:v>CPF-QA-D03-EDU-059</x:v>
      </x:c>
      <x:c r="B262" s="12" t="str">
        <x:v>EDU</x:v>
      </x:c>
      <x:c r="C262" s="12" t="str">
        <x:v>WP07</x:v>
      </x:c>
      <x:c r="D262" s="12" t="str">
        <x:v>부분 구현</x:v>
      </x:c>
      <x:c r="E262" s="12" t="str">
        <x:v>P1</x:v>
      </x:c>
      <x:c r="F262" s="12" t="str">
        <x:v>Redis Distributed Lock 예제</x:v>
      </x:c>
      <x:c r="G262" s="12" t="str">
        <x:v>CPF가 공식 지원하는 기능별 그룹에 **Redis Distributed Lock 예제** 기능을 제품 계약·기본 구현·실제 Consumer·운영 기능까지 연결한다. 단순 Interface, 화면 Route, Sample 문자열만으로 완료 처리하지 않는다.</x:v>
      </x:c>
      <x:c r="H262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62" s="12" t="str"/>
      <x:c r="J262" s="12" t="str">
        <x:v>WP01,WP08</x:v>
      </x:c>
      <x:c r="K262" s="12" t="str"/>
      <x:c r="L262" s="12" t="str">
        <x:v>WAS+MariaDB/Fake/Simulator</x:v>
      </x:c>
    </x:row>
    <x:row r="263">
      <x:c r="A263" s="12" t="str">
        <x:v>CPF-QA-D03-EDU-060</x:v>
      </x:c>
      <x:c r="B263" s="12" t="str">
        <x:v>EDU</x:v>
      </x:c>
      <x:c r="C263" s="12" t="str">
        <x:v>WP07</x:v>
      </x:c>
      <x:c r="D263" s="12" t="str">
        <x:v>부분 구현</x:v>
      </x:c>
      <x:c r="E263" s="12" t="str">
        <x:v>P1</x:v>
      </x:c>
      <x:c r="F263" s="12" t="str">
        <x:v>Redis Rate Limit 예제</x:v>
      </x:c>
      <x:c r="G263" s="12" t="str">
        <x:v>CPF가 공식 지원하는 기능별 그룹에 **Redis Rate Limit 예제** 기능을 제품 계약·기본 구현·실제 Consumer·운영 기능까지 연결한다. 단순 Interface, 화면 Route, Sample 문자열만으로 완료 처리하지 않는다.</x:v>
      </x:c>
      <x:c r="H263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63" s="12" t="str"/>
      <x:c r="J263" s="12" t="str">
        <x:v>WP01,WP08</x:v>
      </x:c>
      <x:c r="K263" s="12" t="str"/>
      <x:c r="L263" s="12" t="str">
        <x:v>WAS+MariaDB/Fake/Simulator</x:v>
      </x:c>
    </x:row>
    <x:row r="264">
      <x:c r="A264" s="12" t="str">
        <x:v>CPF-QA-D03-EDU-061</x:v>
      </x:c>
      <x:c r="B264" s="12" t="str">
        <x:v>EDU</x:v>
      </x:c>
      <x:c r="C264" s="12" t="str">
        <x:v>WP07</x:v>
      </x:c>
      <x:c r="D264" s="12" t="str">
        <x:v>부분 구현</x:v>
      </x:c>
      <x:c r="E264" s="12" t="str">
        <x:v>P1</x:v>
      </x:c>
      <x:c r="F264" s="12" t="str">
        <x:v>Redis Session 공유 예제</x:v>
      </x:c>
      <x:c r="G264" s="12" t="str">
        <x:v>CPF가 공식 지원하는 기능별 그룹에 **Redis Session 공유 예제** 기능을 제품 계약·기본 구현·실제 Consumer·운영 기능까지 연결한다. 단순 Interface, 화면 Route, Sample 문자열만으로 완료 처리하지 않는다.</x:v>
      </x:c>
      <x:c r="H264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64" s="12" t="str"/>
      <x:c r="J264" s="12" t="str">
        <x:v>WP01,WP08</x:v>
      </x:c>
      <x:c r="K264" s="12" t="str"/>
      <x:c r="L264" s="12" t="str">
        <x:v>WAS+MariaDB/Fake/Simulator</x:v>
      </x:c>
    </x:row>
    <x:row r="265">
      <x:c r="A265" s="12" t="str">
        <x:v>CPF-QA-D03-EDU-062</x:v>
      </x:c>
      <x:c r="B265" s="12" t="str">
        <x:v>EDU</x:v>
      </x:c>
      <x:c r="C265" s="12" t="str">
        <x:v>WP07</x:v>
      </x:c>
      <x:c r="D265" s="12" t="str">
        <x:v>부분 구현</x:v>
      </x:c>
      <x:c r="E265" s="12" t="str">
        <x:v>P1</x:v>
      </x:c>
      <x:c r="F265" s="12" t="str">
        <x:v>Redis Streams 예제</x:v>
      </x:c>
      <x:c r="G265" s="12" t="str">
        <x:v>CPF가 공식 지원하는 기능별 그룹에 **Redis Streams 예제** 기능을 제품 계약·기본 구현·실제 Consumer·운영 기능까지 연결한다. 단순 Interface, 화면 Route, Sample 문자열만으로 완료 처리하지 않는다.</x:v>
      </x:c>
      <x:c r="H265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65" s="12" t="str"/>
      <x:c r="J265" s="12" t="str">
        <x:v>WP01,WP08</x:v>
      </x:c>
      <x:c r="K265" s="12" t="str"/>
      <x:c r="L265" s="12" t="str">
        <x:v>WAS+MariaDB/Fake/Simulator</x:v>
      </x:c>
    </x:row>
    <x:row r="266">
      <x:c r="A266" s="12" t="str">
        <x:v>CPF-QA-D03-EDU-063</x:v>
      </x:c>
      <x:c r="B266" s="12" t="str">
        <x:v>EDU</x:v>
      </x:c>
      <x:c r="C266" s="12" t="str">
        <x:v>WP07</x:v>
      </x:c>
      <x:c r="D266" s="12" t="str">
        <x:v>부분 구현</x:v>
      </x:c>
      <x:c r="E266" s="12" t="str">
        <x:v>P1</x:v>
      </x:c>
      <x:c r="F266" s="12" t="str">
        <x:v>Redis Pub/Sub 설정 전파 예제</x:v>
      </x:c>
      <x:c r="G266" s="12" t="str">
        <x:v>CPF가 공식 지원하는 기능별 그룹에 **Redis Pub/Sub 설정 전파 예제** 기능을 제품 계약·기본 구현·실제 Consumer·운영 기능까지 연결한다. 단순 Interface, 화면 Route, Sample 문자열만으로 완료 처리하지 않는다.</x:v>
      </x:c>
      <x:c r="H266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66" s="12" t="str"/>
      <x:c r="J266" s="12" t="str">
        <x:v>WP01,WP08</x:v>
      </x:c>
      <x:c r="K266" s="12" t="str"/>
      <x:c r="L266" s="12" t="str">
        <x:v>WAS+MariaDB/Fake/Simulator</x:v>
      </x:c>
    </x:row>
    <x:row r="267">
      <x:c r="A267" s="12" t="str">
        <x:v>CPF-QA-D03-EDU-064</x:v>
      </x:c>
      <x:c r="B267" s="12" t="str">
        <x:v>EDU</x:v>
      </x:c>
      <x:c r="C267" s="12" t="str">
        <x:v>WP07</x:v>
      </x:c>
      <x:c r="D267" s="12" t="str">
        <x:v>부분 구현</x:v>
      </x:c>
      <x:c r="E267" s="12" t="str">
        <x:v>P1</x:v>
      </x:c>
      <x:c r="F267" s="12" t="str">
        <x:v>Redis 장애 DB Fallback 예제</x:v>
      </x:c>
      <x:c r="G267" s="12" t="str">
        <x:v>CPF가 공식 지원하는 기능별 그룹에 **Redis 장애 DB Fallback 예제** 기능을 제품 계약·기본 구현·실제 Consumer·운영 기능까지 연결한다. 단순 Interface, 화면 Route, Sample 문자열만으로 완료 처리하지 않는다.</x:v>
      </x:c>
      <x:c r="H267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67" s="12" t="str"/>
      <x:c r="J267" s="12" t="str">
        <x:v>WP01,WP08</x:v>
      </x:c>
      <x:c r="K267" s="12" t="str"/>
      <x:c r="L267" s="12" t="str">
        <x:v>WAS+MariaDB/Fake/Simulator</x:v>
      </x:c>
    </x:row>
    <x:row r="268">
      <x:c r="A268" s="12" t="str">
        <x:v>CPF-QA-D03-EDU-065</x:v>
      </x:c>
      <x:c r="B268" s="12" t="str">
        <x:v>EDU</x:v>
      </x:c>
      <x:c r="C268" s="12" t="str">
        <x:v>WP07</x:v>
      </x:c>
      <x:c r="D268" s="12" t="str">
        <x:v>부분 구현</x:v>
      </x:c>
      <x:c r="E268" s="12" t="str">
        <x:v>P1</x:v>
      </x:c>
      <x:c r="F268" s="12" t="str">
        <x:v>Redis Cluster·Sentinel Simulator 예제</x:v>
      </x:c>
      <x:c r="G268" s="12" t="str">
        <x:v>CPF가 공식 지원하는 기능별 그룹에 **Redis Cluster·Sentinel Simulator 예제** 기능을 제품 계약·기본 구현·실제 Consumer·운영 기능까지 연결한다. 단순 Interface, 화면 Route, Sample 문자열만으로 완료 처리하지 않는다.</x:v>
      </x:c>
      <x:c r="H268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68" s="12" t="str"/>
      <x:c r="J268" s="12" t="str">
        <x:v>WP01,WP08</x:v>
      </x:c>
      <x:c r="K268" s="12" t="str"/>
      <x:c r="L268" s="12" t="str">
        <x:v>WAS+MariaDB/Fake/Simulator</x:v>
      </x:c>
    </x:row>
    <x:row r="269">
      <x:c r="A269" s="12" t="str">
        <x:v>CPF-QA-D03-EDU-066</x:v>
      </x:c>
      <x:c r="B269" s="12" t="str">
        <x:v>EDU</x:v>
      </x:c>
      <x:c r="C269" s="12" t="str">
        <x:v>WP07</x:v>
      </x:c>
      <x:c r="D269" s="12" t="str">
        <x:v>부분 구현</x:v>
      </x:c>
      <x:c r="E269" s="12" t="str">
        <x:v>P1</x:v>
      </x:c>
      <x:c r="F269" s="12" t="str">
        <x:v>Redis 직렬화 Version 복구 예제</x:v>
      </x:c>
      <x:c r="G269" s="12" t="str">
        <x:v>CPF가 공식 지원하는 기능별 그룹에 **Redis 직렬화 Version 복구 예제** 기능을 제품 계약·기본 구현·실제 Consumer·운영 기능까지 연결한다. 단순 Interface, 화면 Route, Sample 문자열만으로 완료 처리하지 않는다.</x:v>
      </x:c>
      <x:c r="H269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69" s="12" t="str"/>
      <x:c r="J269" s="12" t="str">
        <x:v>WP01,WP08</x:v>
      </x:c>
      <x:c r="K269" s="12" t="str"/>
      <x:c r="L269" s="12" t="str">
        <x:v>WAS+MariaDB/Fake/Simulator</x:v>
      </x:c>
    </x:row>
    <x:row r="270">
      <x:c r="A270" s="12" t="str">
        <x:v>CPF-QA-D03-EDU-067</x:v>
      </x:c>
      <x:c r="B270" s="12" t="str">
        <x:v>EDU</x:v>
      </x:c>
      <x:c r="C270" s="12" t="str">
        <x:v>WP07</x:v>
      </x:c>
      <x:c r="D270" s="12" t="str">
        <x:v>부분 구현</x:v>
      </x:c>
      <x:c r="E270" s="12" t="str">
        <x:v>P1</x:v>
      </x:c>
      <x:c r="F270" s="12" t="str">
        <x:v>WebSocket 실시간 예제</x:v>
      </x:c>
      <x:c r="G270" s="12" t="str">
        <x:v>CPF가 공식 지원하는 기능별 그룹에 **WebSocket 실시간 예제** 기능을 제품 계약·기본 구현·실제 Consumer·운영 기능까지 연결한다. 단순 Interface, 화면 Route, Sample 문자열만으로 완료 처리하지 않는다.</x:v>
      </x:c>
      <x:c r="H270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70" s="12" t="str"/>
      <x:c r="J270" s="12" t="str">
        <x:v>WP01,WP08</x:v>
      </x:c>
      <x:c r="K270" s="12" t="str"/>
      <x:c r="L270" s="12" t="str">
        <x:v>WAS+MariaDB/Fake/Simulator</x:v>
      </x:c>
    </x:row>
    <x:row r="271">
      <x:c r="A271" s="12" t="str">
        <x:v>CPF-QA-D03-EDU-068</x:v>
      </x:c>
      <x:c r="B271" s="12" t="str">
        <x:v>EDU</x:v>
      </x:c>
      <x:c r="C271" s="12" t="str">
        <x:v>WP07</x:v>
      </x:c>
      <x:c r="D271" s="12" t="str">
        <x:v>부분 구현</x:v>
      </x:c>
      <x:c r="E271" s="12" t="str">
        <x:v>P1</x:v>
      </x:c>
      <x:c r="F271" s="12" t="str">
        <x:v>SSE 실시간 예제</x:v>
      </x:c>
      <x:c r="G271" s="12" t="str">
        <x:v>CPF가 공식 지원하는 기능별 그룹에 **SSE 실시간 예제** 기능을 제품 계약·기본 구현·실제 Consumer·운영 기능까지 연결한다. 단순 Interface, 화면 Route, Sample 문자열만으로 완료 처리하지 않는다.</x:v>
      </x:c>
      <x:c r="H271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71" s="12" t="str"/>
      <x:c r="J271" s="12" t="str">
        <x:v>WP01,WP08</x:v>
      </x:c>
      <x:c r="K271" s="12" t="str"/>
      <x:c r="L271" s="12" t="str">
        <x:v>WAS+MariaDB/Fake/Simulator</x:v>
      </x:c>
    </x:row>
    <x:row r="272">
      <x:c r="A272" s="12" t="str">
        <x:v>CPF-QA-D03-EDU-069</x:v>
      </x:c>
      <x:c r="B272" s="12" t="str">
        <x:v>EDU</x:v>
      </x:c>
      <x:c r="C272" s="12" t="str">
        <x:v>WP07</x:v>
      </x:c>
      <x:c r="D272" s="12" t="str">
        <x:v>부분 구현</x:v>
      </x:c>
      <x:c r="E272" s="12" t="str">
        <x:v>P1</x:v>
      </x:c>
      <x:c r="F272" s="12" t="str">
        <x:v>STOMP 예제</x:v>
      </x:c>
      <x:c r="G272" s="12" t="str">
        <x:v>CPF가 공식 지원하는 기능별 그룹에 **STOMP 예제** 기능을 제품 계약·기본 구현·실제 Consumer·운영 기능까지 연결한다. 단순 Interface, 화면 Route, Sample 문자열만으로 완료 처리하지 않는다.</x:v>
      </x:c>
      <x:c r="H272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72" s="12" t="str"/>
      <x:c r="J272" s="12" t="str">
        <x:v>WP01,WP08</x:v>
      </x:c>
      <x:c r="K272" s="12" t="str"/>
      <x:c r="L272" s="12" t="str">
        <x:v>WAS+MariaDB/Fake/Simulator</x:v>
      </x:c>
    </x:row>
    <x:row r="273">
      <x:c r="A273" s="12" t="str">
        <x:v>CPF-QA-D03-EDU-070</x:v>
      </x:c>
      <x:c r="B273" s="12" t="str">
        <x:v>EDU</x:v>
      </x:c>
      <x:c r="C273" s="12" t="str">
        <x:v>WP07</x:v>
      </x:c>
      <x:c r="D273" s="12" t="str">
        <x:v>부분 구현</x:v>
      </x:c>
      <x:c r="E273" s="12" t="str">
        <x:v>P1</x:v>
      </x:c>
      <x:c r="F273" s="12" t="str">
        <x:v>Webhook 서명·재시도 예제</x:v>
      </x:c>
      <x:c r="G273" s="12" t="str">
        <x:v>CPF가 공식 지원하는 기능별 그룹에 **Webhook 서명·재시도 예제** 기능을 제품 계약·기본 구현·실제 Consumer·운영 기능까지 연결한다. 단순 Interface, 화면 Route, Sample 문자열만으로 완료 처리하지 않는다.</x:v>
      </x:c>
      <x:c r="H273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73" s="12" t="str"/>
      <x:c r="J273" s="12" t="str">
        <x:v>WP01,WP08</x:v>
      </x:c>
      <x:c r="K273" s="12" t="str"/>
      <x:c r="L273" s="12" t="str">
        <x:v>WAS+MariaDB/Fake/Simulator</x:v>
      </x:c>
    </x:row>
    <x:row r="274">
      <x:c r="A274" s="12" t="str">
        <x:v>CPF-QA-D03-EDU-071</x:v>
      </x:c>
      <x:c r="B274" s="12" t="str">
        <x:v>EDU</x:v>
      </x:c>
      <x:c r="C274" s="12" t="str">
        <x:v>WP07</x:v>
      </x:c>
      <x:c r="D274" s="12" t="str">
        <x:v>부분 구현</x:v>
      </x:c>
      <x:c r="E274" s="12" t="str">
        <x:v>P1</x:v>
      </x:c>
      <x:c r="F274" s="12" t="str">
        <x:v>CDC 이벤트 예제</x:v>
      </x:c>
      <x:c r="G274" s="12" t="str">
        <x:v>CPF가 공식 지원하는 기능별 그룹에 **CDC 이벤트 예제** 기능을 제품 계약·기본 구현·실제 Consumer·운영 기능까지 연결한다. 단순 Interface, 화면 Route, Sample 문자열만으로 완료 처리하지 않는다.</x:v>
      </x:c>
      <x:c r="H274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74" s="12" t="str"/>
      <x:c r="J274" s="12" t="str">
        <x:v>WP01,WP08</x:v>
      </x:c>
      <x:c r="K274" s="12" t="str"/>
      <x:c r="L274" s="12" t="str">
        <x:v>WAS+MariaDB/Fake/Simulator</x:v>
      </x:c>
    </x:row>
    <x:row r="275">
      <x:c r="A275" s="12" t="str">
        <x:v>CPF-QA-D03-EDU-072</x:v>
      </x:c>
      <x:c r="B275" s="12" t="str">
        <x:v>EDU</x:v>
      </x:c>
      <x:c r="C275" s="12" t="str">
        <x:v>WP07</x:v>
      </x:c>
      <x:c r="D275" s="12" t="str">
        <x:v>부분 구현</x:v>
      </x:c>
      <x:c r="E275" s="12" t="str">
        <x:v>P1</x:v>
      </x:c>
      <x:c r="F275" s="12" t="str">
        <x:v>Object Storage Adapter 예제</x:v>
      </x:c>
      <x:c r="G275" s="12" t="str">
        <x:v>CPF가 공식 지원하는 기능별 그룹에 **Object Storage Adapter 예제** 기능을 제품 계약·기본 구현·실제 Consumer·운영 기능까지 연결한다. 단순 Interface, 화면 Route, Sample 문자열만으로 완료 처리하지 않는다.</x:v>
      </x:c>
      <x:c r="H275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75" s="12" t="str"/>
      <x:c r="J275" s="12" t="str">
        <x:v>WP01,WP08</x:v>
      </x:c>
      <x:c r="K275" s="12" t="str"/>
      <x:c r="L275" s="12" t="str">
        <x:v>WAS+MariaDB/Fake/Simulator</x:v>
      </x:c>
    </x:row>
    <x:row r="276">
      <x:c r="A276" s="12" t="str">
        <x:v>CPF-QA-D03-EDU-073</x:v>
      </x:c>
      <x:c r="B276" s="12" t="str">
        <x:v>EDU</x:v>
      </x:c>
      <x:c r="C276" s="12" t="str">
        <x:v>WP07</x:v>
      </x:c>
      <x:c r="D276" s="12" t="str">
        <x:v>부분 구현</x:v>
      </x:c>
      <x:c r="E276" s="12" t="str">
        <x:v>P1</x:v>
      </x:c>
      <x:c r="F276" s="12" t="str">
        <x:v>SMB·FTPS Adapter 예제</x:v>
      </x:c>
      <x:c r="G276" s="12" t="str">
        <x:v>CPF가 공식 지원하는 기능별 그룹에 **SMB·FTPS Adapter 예제** 기능을 제품 계약·기본 구현·실제 Consumer·운영 기능까지 연결한다. 단순 Interface, 화면 Route, Sample 문자열만으로 완료 처리하지 않는다.</x:v>
      </x:c>
      <x:c r="H276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76" s="12" t="str"/>
      <x:c r="J276" s="12" t="str">
        <x:v>WP01,WP08</x:v>
      </x:c>
      <x:c r="K276" s="12" t="str"/>
      <x:c r="L276" s="12" t="str">
        <x:v>WAS+MariaDB/Fake/Simulator</x:v>
      </x:c>
    </x:row>
    <x:row r="277">
      <x:c r="A277" s="12" t="str">
        <x:v>CPF-QA-D03-EDU-074</x:v>
      </x:c>
      <x:c r="B277" s="12" t="str">
        <x:v>EDU</x:v>
      </x:c>
      <x:c r="C277" s="12" t="str">
        <x:v>WP07</x:v>
      </x:c>
      <x:c r="D277" s="12" t="str">
        <x:v>부분 구현</x:v>
      </x:c>
      <x:c r="E277" s="12" t="str">
        <x:v>P1</x:v>
      </x:c>
      <x:c r="F277" s="12" t="str">
        <x:v>Secret·Certificate Reload 예제</x:v>
      </x:c>
      <x:c r="G277" s="12" t="str">
        <x:v>CPF가 공식 지원하는 기능별 그룹에 **Secret·Certificate Reload 예제** 기능을 제품 계약·기본 구현·실제 Consumer·운영 기능까지 연결한다. 단순 Interface, 화면 Route, Sample 문자열만으로 완료 처리하지 않는다.</x:v>
      </x:c>
      <x:c r="H277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77" s="12" t="str"/>
      <x:c r="J277" s="12" t="str">
        <x:v>WP01,WP08</x:v>
      </x:c>
      <x:c r="K277" s="12" t="str"/>
      <x:c r="L277" s="12" t="str">
        <x:v>WAS+MariaDB/Fake/Simulator</x:v>
      </x:c>
    </x:row>
    <x:row r="278">
      <x:c r="A278" s="12" t="str">
        <x:v>CPF-QA-D03-EDU-075</x:v>
      </x:c>
      <x:c r="B278" s="12" t="str">
        <x:v>EDU</x:v>
      </x:c>
      <x:c r="C278" s="12" t="str">
        <x:v>WP07</x:v>
      </x:c>
      <x:c r="D278" s="12" t="str">
        <x:v>부분 구현</x:v>
      </x:c>
      <x:c r="E278" s="12" t="str">
        <x:v>P1</x:v>
      </x:c>
      <x:c r="F278" s="12" t="str">
        <x:v>Feature Flag 변경 예제</x:v>
      </x:c>
      <x:c r="G278" s="12" t="str">
        <x:v>CPF가 공식 지원하는 기능별 그룹에 **Feature Flag 변경 예제** 기능을 제품 계약·기본 구현·실제 Consumer·운영 기능까지 연결한다. 단순 Interface, 화면 Route, Sample 문자열만으로 완료 처리하지 않는다.</x:v>
      </x:c>
      <x:c r="H278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78" s="12" t="str"/>
      <x:c r="J278" s="12" t="str">
        <x:v>WP01,WP08</x:v>
      </x:c>
      <x:c r="K278" s="12" t="str"/>
      <x:c r="L278" s="12" t="str">
        <x:v>WAS+MariaDB/Fake/Simulator</x:v>
      </x:c>
    </x:row>
    <x:row r="279">
      <x:c r="A279" s="12" t="str">
        <x:v>CPF-QA-D03-EDU-076</x:v>
      </x:c>
      <x:c r="B279" s="12" t="str">
        <x:v>EDU</x:v>
      </x:c>
      <x:c r="C279" s="12" t="str">
        <x:v>WP07</x:v>
      </x:c>
      <x:c r="D279" s="12" t="str">
        <x:v>부분 구현</x:v>
      </x:c>
      <x:c r="E279" s="12" t="str">
        <x:v>P1</x:v>
      </x:c>
      <x:c r="F279" s="12" t="str">
        <x:v>Service Discovery 예제</x:v>
      </x:c>
      <x:c r="G279" s="12" t="str">
        <x:v>CPF가 공식 지원하는 기능별 그룹에 **Service Discovery 예제** 기능을 제품 계약·기본 구현·실제 Consumer·운영 기능까지 연결한다. 단순 Interface, 화면 Route, Sample 문자열만으로 완료 처리하지 않는다.</x:v>
      </x:c>
      <x:c r="H279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79" s="12" t="str"/>
      <x:c r="J279" s="12" t="str">
        <x:v>WP01,WP08</x:v>
      </x:c>
      <x:c r="K279" s="12" t="str"/>
      <x:c r="L279" s="12" t="str">
        <x:v>WAS+MariaDB/Fake/Simulator</x:v>
      </x:c>
    </x:row>
    <x:row r="280">
      <x:c r="A280" s="12" t="str">
        <x:v>CPF-QA-D03-EDU-077</x:v>
      </x:c>
      <x:c r="B280" s="12" t="str">
        <x:v>EDU</x:v>
      </x:c>
      <x:c r="C280" s="12" t="str">
        <x:v>WP07</x:v>
      </x:c>
      <x:c r="D280" s="12" t="str">
        <x:v>부분 구현</x:v>
      </x:c>
      <x:c r="E280" s="12" t="str">
        <x:v>P1</x:v>
      </x:c>
      <x:c r="F280" s="12" t="str">
        <x:v>Schema Registry 예제</x:v>
      </x:c>
      <x:c r="G280" s="12" t="str">
        <x:v>CPF가 공식 지원하는 기능별 그룹에 **Schema Registry 예제** 기능을 제품 계약·기본 구현·실제 Consumer·운영 기능까지 연결한다. 단순 Interface, 화면 Route, Sample 문자열만으로 완료 처리하지 않는다.</x:v>
      </x:c>
      <x:c r="H280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80" s="12" t="str"/>
      <x:c r="J280" s="12" t="str">
        <x:v>WP01,WP08</x:v>
      </x:c>
      <x:c r="K280" s="12" t="str"/>
      <x:c r="L280" s="12" t="str">
        <x:v>WAS+MariaDB/Fake/Simulator</x:v>
      </x:c>
    </x:row>
    <x:row r="281">
      <x:c r="A281" s="12" t="str">
        <x:v>CPF-QA-D03-EDU-078</x:v>
      </x:c>
      <x:c r="B281" s="12" t="str">
        <x:v>EDU</x:v>
      </x:c>
      <x:c r="C281" s="12" t="str">
        <x:v>WP07</x:v>
      </x:c>
      <x:c r="D281" s="12" t="str">
        <x:v>부분 구현</x:v>
      </x:c>
      <x:c r="E281" s="12" t="str">
        <x:v>P1</x:v>
      </x:c>
      <x:c r="F281" s="12" t="str">
        <x:v>Mapping·Transformation 예제</x:v>
      </x:c>
      <x:c r="G281" s="12" t="str">
        <x:v>CPF가 공식 지원하는 기능별 그룹에 **Mapping·Transformation 예제** 기능을 제품 계약·기본 구현·실제 Consumer·운영 기능까지 연결한다. 단순 Interface, 화면 Route, Sample 문자열만으로 완료 처리하지 않는다.</x:v>
      </x:c>
      <x:c r="H281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81" s="12" t="str"/>
      <x:c r="J281" s="12" t="str">
        <x:v>WP01,WP08</x:v>
      </x:c>
      <x:c r="K281" s="12" t="str"/>
      <x:c r="L281" s="12" t="str">
        <x:v>WAS+MariaDB/Fake/Simulator</x:v>
      </x:c>
    </x:row>
    <x:row r="282">
      <x:c r="A282" s="12" t="str">
        <x:v>CPF-QA-D03-EDU-079</x:v>
      </x:c>
      <x:c r="B282" s="12" t="str">
        <x:v>EDU</x:v>
      </x:c>
      <x:c r="C282" s="12" t="str">
        <x:v>WP07</x:v>
      </x:c>
      <x:c r="D282" s="12" t="str">
        <x:v>부분 구현</x:v>
      </x:c>
      <x:c r="E282" s="12" t="str">
        <x:v>P1</x:v>
      </x:c>
      <x:c r="F282" s="12" t="str">
        <x:v>Notification Provider 확장 예제</x:v>
      </x:c>
      <x:c r="G282" s="12" t="str">
        <x:v>CPF가 공식 지원하는 기능별 그룹에 **Notification Provider 확장 예제** 기능을 제품 계약·기본 구현·실제 Consumer·운영 기능까지 연결한다. 단순 Interface, 화면 Route, Sample 문자열만으로 완료 처리하지 않는다.</x:v>
      </x:c>
      <x:c r="H282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82" s="12" t="str"/>
      <x:c r="J282" s="12" t="str">
        <x:v>WP01,WP08</x:v>
      </x:c>
      <x:c r="K282" s="12" t="str"/>
      <x:c r="L282" s="12" t="str">
        <x:v>WAS+MariaDB/Fake/Simulator</x:v>
      </x:c>
    </x:row>
    <x:row r="283">
      <x:c r="A283" s="12" t="str">
        <x:v>CPF-QA-D03-EDU-080</x:v>
      </x:c>
      <x:c r="B283" s="12" t="str">
        <x:v>EDU</x:v>
      </x:c>
      <x:c r="C283" s="12" t="str">
        <x:v>WP07</x:v>
      </x:c>
      <x:c r="D283" s="12" t="str">
        <x:v>부분 구현</x:v>
      </x:c>
      <x:c r="E283" s="12" t="str">
        <x:v>P1</x:v>
      </x:c>
      <x:c r="F283" s="12" t="str">
        <x:v>Search Provider 예제</x:v>
      </x:c>
      <x:c r="G283" s="12" t="str">
        <x:v>CPF가 공식 지원하는 기능별 그룹에 **Search Provider 예제** 기능을 제품 계약·기본 구현·실제 Consumer·운영 기능까지 연결한다. 단순 Interface, 화면 Route, Sample 문자열만으로 완료 처리하지 않는다.</x:v>
      </x:c>
      <x:c r="H283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83" s="12" t="str"/>
      <x:c r="J283" s="12" t="str">
        <x:v>WP01,WP08</x:v>
      </x:c>
      <x:c r="K283" s="12" t="str"/>
      <x:c r="L283" s="12" t="str">
        <x:v>WAS+MariaDB/Fake/Simulator</x:v>
      </x:c>
    </x:row>
    <x:row r="284">
      <x:c r="A284" s="12" t="str">
        <x:v>CPF-QA-D03-EDU-081</x:v>
      </x:c>
      <x:c r="B284" s="12" t="str">
        <x:v>EDU</x:v>
      </x:c>
      <x:c r="C284" s="12" t="str">
        <x:v>WP07</x:v>
      </x:c>
      <x:c r="D284" s="12" t="str">
        <x:v>부분 구현</x:v>
      </x:c>
      <x:c r="E284" s="12" t="str">
        <x:v>P1</x:v>
      </x:c>
      <x:c r="F284" s="12" t="str">
        <x:v>Workflow·State Machine 예제</x:v>
      </x:c>
      <x:c r="G284" s="12" t="str">
        <x:v>CPF가 공식 지원하는 기능별 그룹에 **Workflow·State Machine 예제** 기능을 제품 계약·기본 구현·실제 Consumer·운영 기능까지 연결한다. 단순 Interface, 화면 Route, Sample 문자열만으로 완료 처리하지 않는다.</x:v>
      </x:c>
      <x:c r="H284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84" s="12" t="str"/>
      <x:c r="J284" s="12" t="str">
        <x:v>WP01,WP08</x:v>
      </x:c>
      <x:c r="K284" s="12" t="str"/>
      <x:c r="L284" s="12" t="str">
        <x:v>WAS+MariaDB/Fake/Simulator</x:v>
      </x:c>
    </x:row>
    <x:row r="285">
      <x:c r="A285" s="12" t="str">
        <x:v>CPF-QA-D03-EDU-082</x:v>
      </x:c>
      <x:c r="B285" s="12" t="str">
        <x:v>EDU</x:v>
      </x:c>
      <x:c r="C285" s="12" t="str">
        <x:v>WP07</x:v>
      </x:c>
      <x:c r="D285" s="12" t="str">
        <x:v>부분 구현</x:v>
      </x:c>
      <x:c r="E285" s="12" t="str">
        <x:v>P1</x:v>
      </x:c>
      <x:c r="F285" s="12" t="str">
        <x:v>Protocol Translation 예제</x:v>
      </x:c>
      <x:c r="G285" s="12" t="str">
        <x:v>CPF가 공식 지원하는 기능별 그룹에 **Protocol Translation 예제** 기능을 제품 계약·기본 구현·실제 Consumer·운영 기능까지 연결한다. 단순 Interface, 화면 Route, Sample 문자열만으로 완료 처리하지 않는다.</x:v>
      </x:c>
      <x:c r="H285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85" s="12" t="str"/>
      <x:c r="J285" s="12" t="str">
        <x:v>WP01,WP08</x:v>
      </x:c>
      <x:c r="K285" s="12" t="str"/>
      <x:c r="L285" s="12" t="str">
        <x:v>WAS+MariaDB/Fake/Simulator</x:v>
      </x:c>
    </x:row>
    <x:row r="286">
      <x:c r="A286" s="12" t="str">
        <x:v>CPF-QA-D03-EDU-083</x:v>
      </x:c>
      <x:c r="B286" s="12" t="str">
        <x:v>EDU</x:v>
      </x:c>
      <x:c r="C286" s="12" t="str">
        <x:v>WP07</x:v>
      </x:c>
      <x:c r="D286" s="12" t="str">
        <x:v>부분 구현</x:v>
      </x:c>
      <x:c r="E286" s="12" t="str">
        <x:v>P1</x:v>
      </x:c>
      <x:c r="F286" s="12" t="str">
        <x:v>Offline/Air-gapped 예제</x:v>
      </x:c>
      <x:c r="G286" s="12" t="str">
        <x:v>CPF가 공식 지원하는 기능별 그룹에 **Offline/Air-gapped 예제** 기능을 제품 계약·기본 구현·실제 Consumer·운영 기능까지 연결한다. 단순 Interface, 화면 Route, Sample 문자열만으로 완료 처리하지 않는다.</x:v>
      </x:c>
      <x:c r="H286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86" s="12" t="str"/>
      <x:c r="J286" s="12" t="str">
        <x:v>WP01,WP08</x:v>
      </x:c>
      <x:c r="K286" s="12" t="str"/>
      <x:c r="L286" s="12" t="str">
        <x:v>WAS+MariaDB/Fake/Simulator</x:v>
      </x:c>
    </x:row>
    <x:row r="287">
      <x:c r="A287" s="12" t="str">
        <x:v>CPF-QA-D03-EDU-084</x:v>
      </x:c>
      <x:c r="B287" s="12" t="str">
        <x:v>EDU</x:v>
      </x:c>
      <x:c r="C287" s="12" t="str">
        <x:v>WP07</x:v>
      </x:c>
      <x:c r="D287" s="12" t="str">
        <x:v>부분 구현</x:v>
      </x:c>
      <x:c r="E287" s="12" t="str">
        <x:v>P1</x:v>
      </x:c>
      <x:c r="F287" s="12" t="str">
        <x:v>Multi-region·DR 예제</x:v>
      </x:c>
      <x:c r="G287" s="12" t="str">
        <x:v>CPF가 공식 지원하는 기능별 그룹에 **Multi-region·DR 예제** 기능을 제품 계약·기본 구현·실제 Consumer·운영 기능까지 연결한다. 단순 Interface, 화면 Route, Sample 문자열만으로 완료 처리하지 않는다.</x:v>
      </x:c>
      <x:c r="H287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87" s="12" t="str"/>
      <x:c r="J287" s="12" t="str">
        <x:v>WP01,WP08</x:v>
      </x:c>
      <x:c r="K287" s="12" t="str"/>
      <x:c r="L287" s="12" t="str">
        <x:v>WAS+MariaDB/Fake/Simulator</x:v>
      </x:c>
    </x:row>
    <x:row r="288">
      <x:c r="A288" s="12" t="str">
        <x:v>CPF-QA-D03-EDU-085</x:v>
      </x:c>
      <x:c r="B288" s="12" t="str">
        <x:v>EDU</x:v>
      </x:c>
      <x:c r="C288" s="12" t="str">
        <x:v>WP07</x:v>
      </x:c>
      <x:c r="D288" s="12" t="str">
        <x:v>부분 구현</x:v>
      </x:c>
      <x:c r="E288" s="12" t="str">
        <x:v>P1</x:v>
      </x:c>
      <x:c r="F288" s="12" t="str">
        <x:v>Quota·Metering 예제</x:v>
      </x:c>
      <x:c r="G288" s="12" t="str">
        <x:v>CPF가 공식 지원하는 기능별 그룹에 **Quota·Metering 예제** 기능을 제품 계약·기본 구현·실제 Consumer·운영 기능까지 연결한다. 단순 Interface, 화면 Route, Sample 문자열만으로 완료 처리하지 않는다.</x:v>
      </x:c>
      <x:c r="H288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88" s="12" t="str"/>
      <x:c r="J288" s="12" t="str">
        <x:v>WP01,WP08</x:v>
      </x:c>
      <x:c r="K288" s="12" t="str"/>
      <x:c r="L288" s="12" t="str">
        <x:v>WAS+MariaDB/Fake/Simulator</x:v>
      </x:c>
    </x:row>
    <x:row r="289">
      <x:c r="A289" s="12" t="str">
        <x:v>CPF-QA-D03-EDU-086</x:v>
      </x:c>
      <x:c r="B289" s="12" t="str">
        <x:v>EDU</x:v>
      </x:c>
      <x:c r="C289" s="12" t="str">
        <x:v>WP07</x:v>
      </x:c>
      <x:c r="D289" s="12" t="str">
        <x:v>부분 구현</x:v>
      </x:c>
      <x:c r="E289" s="12" t="str">
        <x:v>P1</x:v>
      </x:c>
      <x:c r="F289" s="12" t="str">
        <x:v>Data Retention·Deletion 예제</x:v>
      </x:c>
      <x:c r="G289" s="12" t="str">
        <x:v>CPF가 공식 지원하는 기능별 그룹에 **Data Retention·Deletion 예제** 기능을 제품 계약·기본 구현·실제 Consumer·운영 기능까지 연결한다. 단순 Interface, 화면 Route, Sample 문자열만으로 완료 처리하지 않는다.</x:v>
      </x:c>
      <x:c r="H289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89" s="12" t="str"/>
      <x:c r="J289" s="12" t="str">
        <x:v>WP01,WP08</x:v>
      </x:c>
      <x:c r="K289" s="12" t="str"/>
      <x:c r="L289" s="12" t="str">
        <x:v>WAS+MariaDB/Fake/Simulator</x:v>
      </x:c>
    </x:row>
    <x:row r="290">
      <x:c r="A290" s="12" t="str">
        <x:v>CPF-QA-D03-EDU-087</x:v>
      </x:c>
      <x:c r="B290" s="12" t="str">
        <x:v>EDU</x:v>
      </x:c>
      <x:c r="C290" s="12" t="str">
        <x:v>WP07</x:v>
      </x:c>
      <x:c r="D290" s="12" t="str">
        <x:v>부분 구현</x:v>
      </x:c>
      <x:c r="E290" s="12" t="str">
        <x:v>P1</x:v>
      </x:c>
      <x:c r="F290" s="12" t="str">
        <x:v>Supply Chain·SBOM 예제</x:v>
      </x:c>
      <x:c r="G290" s="12" t="str">
        <x:v>CPF가 공식 지원하는 기능별 그룹에 **Supply Chain·SBOM 예제** 기능을 제품 계약·기본 구현·실제 Consumer·운영 기능까지 연결한다. 단순 Interface, 화면 Route, Sample 문자열만으로 완료 처리하지 않는다.</x:v>
      </x:c>
      <x:c r="H290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90" s="12" t="str"/>
      <x:c r="J290" s="12" t="str">
        <x:v>WP01,WP08</x:v>
      </x:c>
      <x:c r="K290" s="12" t="str"/>
      <x:c r="L290" s="12" t="str">
        <x:v>WAS+MariaDB/Fake/Simulator</x:v>
      </x:c>
    </x:row>
    <x:row r="291">
      <x:c r="A291" s="12" t="str">
        <x:v>CPF-QA-D03-EDU-088</x:v>
      </x:c>
      <x:c r="B291" s="12" t="str">
        <x:v>EDU</x:v>
      </x:c>
      <x:c r="C291" s="12" t="str">
        <x:v>WP07</x:v>
      </x:c>
      <x:c r="D291" s="12" t="str">
        <x:v>부분 구현</x:v>
      </x:c>
      <x:c r="E291" s="12" t="str">
        <x:v>P1</x:v>
      </x:c>
      <x:c r="F291" s="12" t="str">
        <x:v>Fault Injection Testkit 예제</x:v>
      </x:c>
      <x:c r="G291" s="12" t="str">
        <x:v>CPF가 공식 지원하는 기능별 그룹에 **Fault Injection Testkit 예제** 기능을 제품 계약·기본 구현·실제 Consumer·운영 기능까지 연결한다. 단순 Interface, 화면 Route, Sample 문자열만으로 완료 처리하지 않는다.</x:v>
      </x:c>
      <x:c r="H291" s="12" t="str">
        <x:v>실제 CPF Public API 사용 여부, JavaDoc/OpenAPI/Guide, 정상·오류·복구·보안·운영 Test를 포함해 정상·오류·경계·부분 실패·재시도/복구·권한·감사·다중 인스턴스 영향까지 자동 Test와 최신 SHA Evidence로 검증한다.</x:v>
      </x:c>
      <x:c r="I291" s="12" t="str"/>
      <x:c r="J291" s="12" t="str">
        <x:v>WP01,WP08</x:v>
      </x:c>
      <x:c r="K291" s="12" t="str"/>
      <x:c r="L291" s="12" t="str">
        <x:v>WAS+MariaDB/Fake/Simulator</x:v>
      </x:c>
    </x:row>
    <x:row r="292">
      <x:c r="A292" s="12" t="str">
        <x:v>CPF-QA-D03-INT-001</x:v>
      </x:c>
      <x:c r="B292" s="12" t="str">
        <x:v>INT</x:v>
      </x:c>
      <x:c r="C292" s="12" t="str">
        <x:v>WP08</x:v>
      </x:c>
      <x:c r="D292" s="12" t="str">
        <x:v>부분 구현</x:v>
      </x:c>
      <x:c r="E292" s="12" t="str">
        <x:v>P0</x:v>
      </x:c>
      <x:c r="F292" s="12" t="str">
        <x:v>Raw WebClient·RestClient·JDK HttpClient 직접 사용 금지</x:v>
      </x:c>
      <x:c r="G292" s="12" t="str">
        <x:v>Business/Generated Domain → CPF Public API → Runtime Engine → Provider Adapter 구조로 **Raw WebClient·RestClient·JDK HttpClient 직접 사용 금지** 기능을 제품 계약·기본 구현·실제 Consumer·운영 기능까지 연결한다. 단순 Interface, 화면 Route, Sample 문자열만으로 완료 처리하지 않는다.</x:v>
      </x:c>
      <x:c r="H292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292" s="12" t="str"/>
      <x:c r="J292" s="12" t="str">
        <x:v>WP01</x:v>
      </x:c>
      <x:c r="K292" s="12" t="str"/>
      <x:c r="L292" s="12" t="str"/>
    </x:row>
    <x:row r="293">
      <x:c r="A293" s="12" t="str">
        <x:v>CPF-QA-D03-INT-002</x:v>
      </x:c>
      <x:c r="B293" s="12" t="str">
        <x:v>INT</x:v>
      </x:c>
      <x:c r="C293" s="12" t="str">
        <x:v>WP08</x:v>
      </x:c>
      <x:c r="D293" s="12" t="str">
        <x:v>부분 구현</x:v>
      </x:c>
      <x:c r="E293" s="12" t="str">
        <x:v>P0</x:v>
      </x:c>
      <x:c r="F293" s="12" t="str">
        <x:v>Raw RedisTemplate·Lettuce·Jedis 직접 사용 금지</x:v>
      </x:c>
      <x:c r="G293" s="12" t="str">
        <x:v>Business/Generated Domain → CPF Public API → Runtime Engine → Provider Adapter 구조로 **Raw RedisTemplate·Lettuce·Jedis 직접 사용 금지** 기능을 제품 계약·기본 구현·실제 Consumer·운영 기능까지 연결한다. 단순 Interface, 화면 Route, Sample 문자열만으로 완료 처리하지 않는다.</x:v>
      </x:c>
      <x:c r="H293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293" s="12" t="str"/>
      <x:c r="J293" s="12" t="str">
        <x:v>WP01</x:v>
      </x:c>
      <x:c r="K293" s="12" t="str"/>
      <x:c r="L293" s="12" t="str"/>
    </x:row>
    <x:row r="294">
      <x:c r="A294" s="12" t="str">
        <x:v>CPF-QA-D03-INT-003</x:v>
      </x:c>
      <x:c r="B294" s="12" t="str">
        <x:v>INT</x:v>
      </x:c>
      <x:c r="C294" s="12" t="str">
        <x:v>WP08</x:v>
      </x:c>
      <x:c r="D294" s="12" t="str">
        <x:v>부분 구현</x:v>
      </x:c>
      <x:c r="E294" s="12" t="str">
        <x:v>P0</x:v>
      </x:c>
      <x:c r="F294" s="12" t="str">
        <x:v>Raw KafkaTemplate·Consumer 직접 사용 금지</x:v>
      </x:c>
      <x:c r="G294" s="12" t="str">
        <x:v>Business/Generated Domain → CPF Public API → Runtime Engine → Provider Adapter 구조로 **Raw KafkaTemplate·Consumer 직접 사용 금지** 기능을 제품 계약·기본 구현·실제 Consumer·운영 기능까지 연결한다. 단순 Interface, 화면 Route, Sample 문자열만으로 완료 처리하지 않는다.</x:v>
      </x:c>
      <x:c r="H294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294" s="12" t="str"/>
      <x:c r="J294" s="12" t="str">
        <x:v>WP01</x:v>
      </x:c>
      <x:c r="K294" s="12" t="str"/>
      <x:c r="L294" s="12" t="str"/>
    </x:row>
    <x:row r="295">
      <x:c r="A295" s="12" t="str">
        <x:v>CPF-QA-D03-INT-004</x:v>
      </x:c>
      <x:c r="B295" s="12" t="str">
        <x:v>INT</x:v>
      </x:c>
      <x:c r="C295" s="12" t="str">
        <x:v>WP08</x:v>
      </x:c>
      <x:c r="D295" s="12" t="str">
        <x:v>부분 구현</x:v>
      </x:c>
      <x:c r="E295" s="12" t="str">
        <x:v>P0</x:v>
      </x:c>
      <x:c r="F295" s="12" t="str">
        <x:v>Raw RabbitTemplate·JMS 직접 사용 금지</x:v>
      </x:c>
      <x:c r="G295" s="12" t="str">
        <x:v>Business/Generated Domain → CPF Public API → Runtime Engine → Provider Adapter 구조로 **Raw RabbitTemplate·JMS 직접 사용 금지** 기능을 제품 계약·기본 구현·실제 Consumer·운영 기능까지 연결한다. 단순 Interface, 화면 Route, Sample 문자열만으로 완료 처리하지 않는다.</x:v>
      </x:c>
      <x:c r="H295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295" s="12" t="str"/>
      <x:c r="J295" s="12" t="str">
        <x:v>WP01</x:v>
      </x:c>
      <x:c r="K295" s="12" t="str"/>
      <x:c r="L295" s="12" t="str"/>
    </x:row>
    <x:row r="296">
      <x:c r="A296" s="12" t="str">
        <x:v>CPF-QA-D03-INT-005</x:v>
      </x:c>
      <x:c r="B296" s="12" t="str">
        <x:v>INT</x:v>
      </x:c>
      <x:c r="C296" s="12" t="str">
        <x:v>WP08</x:v>
      </x:c>
      <x:c r="D296" s="12" t="str">
        <x:v>부분 구현</x:v>
      </x:c>
      <x:c r="E296" s="12" t="str">
        <x:v>P0</x:v>
      </x:c>
      <x:c r="F296" s="12" t="str">
        <x:v>Raw Socket·Netty 직접 사용 금지</x:v>
      </x:c>
      <x:c r="G296" s="12" t="str">
        <x:v>Business/Generated Domain → CPF Public API → Runtime Engine → Provider Adapter 구조로 **Raw Socket·Netty 직접 사용 금지** 기능을 제품 계약·기본 구현·실제 Consumer·운영 기능까지 연결한다. 단순 Interface, 화면 Route, Sample 문자열만으로 완료 처리하지 않는다.</x:v>
      </x:c>
      <x:c r="H296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296" s="12" t="str"/>
      <x:c r="J296" s="12" t="str">
        <x:v>WP01</x:v>
      </x:c>
      <x:c r="K296" s="12" t="str"/>
      <x:c r="L296" s="12" t="str"/>
    </x:row>
    <x:row r="297">
      <x:c r="A297" s="12" t="str">
        <x:v>CPF-QA-D03-INT-006</x:v>
      </x:c>
      <x:c r="B297" s="12" t="str">
        <x:v>INT</x:v>
      </x:c>
      <x:c r="C297" s="12" t="str">
        <x:v>WP08</x:v>
      </x:c>
      <x:c r="D297" s="12" t="str">
        <x:v>부분 구현</x:v>
      </x:c>
      <x:c r="E297" s="12" t="str">
        <x:v>P0</x:v>
      </x:c>
      <x:c r="F297" s="12" t="str">
        <x:v>Raw FTP·SFTP·SMB Client 직접 사용 금지</x:v>
      </x:c>
      <x:c r="G297" s="12" t="str">
        <x:v>Business/Generated Domain → CPF Public API → Runtime Engine → Provider Adapter 구조로 **Raw FTP·SFTP·SMB Client 직접 사용 금지** 기능을 제품 계약·기본 구현·실제 Consumer·운영 기능까지 연결한다. 단순 Interface, 화면 Route, Sample 문자열만으로 완료 처리하지 않는다.</x:v>
      </x:c>
      <x:c r="H297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297" s="12" t="str"/>
      <x:c r="J297" s="12" t="str">
        <x:v>WP01</x:v>
      </x:c>
      <x:c r="K297" s="12" t="str"/>
      <x:c r="L297" s="12" t="str"/>
    </x:row>
    <x:row r="298">
      <x:c r="A298" s="12" t="str">
        <x:v>CPF-QA-D03-INT-007</x:v>
      </x:c>
      <x:c r="B298" s="12" t="str">
        <x:v>INT</x:v>
      </x:c>
      <x:c r="C298" s="12" t="str">
        <x:v>WP08</x:v>
      </x:c>
      <x:c r="D298" s="12" t="str">
        <x:v>부분 구현</x:v>
      </x:c>
      <x:c r="E298" s="12" t="str">
        <x:v>P0</x:v>
      </x:c>
      <x:c r="F298" s="12" t="str">
        <x:v>Raw S3/Object SDK 직접 사용 금지</x:v>
      </x:c>
      <x:c r="G298" s="12" t="str">
        <x:v>Business/Generated Domain → CPF Public API → Runtime Engine → Provider Adapter 구조로 **Raw S3/Object SDK 직접 사용 금지** 기능을 제품 계약·기본 구현·실제 Consumer·운영 기능까지 연결한다. 단순 Interface, 화면 Route, Sample 문자열만으로 완료 처리하지 않는다.</x:v>
      </x:c>
      <x:c r="H298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298" s="12" t="str"/>
      <x:c r="J298" s="12" t="str">
        <x:v>WP01</x:v>
      </x:c>
      <x:c r="K298" s="12" t="str"/>
      <x:c r="L298" s="12" t="str"/>
    </x:row>
    <x:row r="299">
      <x:c r="A299" s="12" t="str">
        <x:v>CPF-QA-D03-INT-008</x:v>
      </x:c>
      <x:c r="B299" s="12" t="str">
        <x:v>INT</x:v>
      </x:c>
      <x:c r="C299" s="12" t="str">
        <x:v>WP08</x:v>
      </x:c>
      <x:c r="D299" s="12" t="str">
        <x:v>부분 구현</x:v>
      </x:c>
      <x:c r="E299" s="12" t="str">
        <x:v>P0</x:v>
      </x:c>
      <x:c r="F299" s="12" t="str">
        <x:v>Raw gRPC ManagedChannel 직접 사용 금지</x:v>
      </x:c>
      <x:c r="G299" s="12" t="str">
        <x:v>Business/Generated Domain → CPF Public API → Runtime Engine → Provider Adapter 구조로 **Raw gRPC ManagedChannel 직접 사용 금지** 기능을 제품 계약·기본 구현·실제 Consumer·운영 기능까지 연결한다. 단순 Interface, 화면 Route, Sample 문자열만으로 완료 처리하지 않는다.</x:v>
      </x:c>
      <x:c r="H299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299" s="12" t="str"/>
      <x:c r="J299" s="12" t="str">
        <x:v>WP01</x:v>
      </x:c>
      <x:c r="K299" s="12" t="str"/>
      <x:c r="L299" s="12" t="str"/>
    </x:row>
    <x:row r="300">
      <x:c r="A300" s="12" t="str">
        <x:v>CPF-QA-D03-INT-009</x:v>
      </x:c>
      <x:c r="B300" s="12" t="str">
        <x:v>INT</x:v>
      </x:c>
      <x:c r="C300" s="12" t="str">
        <x:v>WP08</x:v>
      </x:c>
      <x:c r="D300" s="12" t="str">
        <x:v>부분 구현</x:v>
      </x:c>
      <x:c r="E300" s="12" t="str">
        <x:v>P0</x:v>
      </x:c>
      <x:c r="F300" s="12" t="str">
        <x:v>Raw SOAP Factory 직접 사용 금지</x:v>
      </x:c>
      <x:c r="G300" s="12" t="str">
        <x:v>Business/Generated Domain → CPF Public API → Runtime Engine → Provider Adapter 구조로 **Raw SOAP Factory 직접 사용 금지** 기능을 제품 계약·기본 구현·실제 Consumer·운영 기능까지 연결한다. 단순 Interface, 화면 Route, Sample 문자열만으로 완료 처리하지 않는다.</x:v>
      </x:c>
      <x:c r="H300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00" s="12" t="str"/>
      <x:c r="J300" s="12" t="str">
        <x:v>WP01</x:v>
      </x:c>
      <x:c r="K300" s="12" t="str"/>
      <x:c r="L300" s="12" t="str"/>
    </x:row>
    <x:row r="301">
      <x:c r="A301" s="12" t="str">
        <x:v>CPF-QA-D03-INT-010</x:v>
      </x:c>
      <x:c r="B301" s="12" t="str">
        <x:v>INT</x:v>
      </x:c>
      <x:c r="C301" s="12" t="str">
        <x:v>WP08</x:v>
      </x:c>
      <x:c r="D301" s="12" t="str">
        <x:v>부분 구현</x:v>
      </x:c>
      <x:c r="E301" s="12" t="str">
        <x:v>P0</x:v>
      </x:c>
      <x:c r="F301" s="12" t="str">
        <x:v>CPF 단순 한 줄 호출 API</x:v>
      </x:c>
      <x:c r="G301" s="12" t="str">
        <x:v>Business/Generated Domain → CPF Public API → Runtime Engine → Provider Adapter 구조로 **CPF 단순 한 줄 호출 API** 기능을 제품 계약·기본 구현·실제 Consumer·운영 기능까지 연결한다. 단순 Interface, 화면 Route, Sample 문자열만으로 완료 처리하지 않는다.</x:v>
      </x:c>
      <x:c r="H301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01" s="12" t="str"/>
      <x:c r="J301" s="12" t="str">
        <x:v>WP01</x:v>
      </x:c>
      <x:c r="K301" s="12" t="str"/>
      <x:c r="L301" s="12" t="str"/>
    </x:row>
    <x:row r="302">
      <x:c r="A302" s="12" t="str">
        <x:v>CPF-QA-D03-INT-011</x:v>
      </x:c>
      <x:c r="B302" s="12" t="str">
        <x:v>INT</x:v>
      </x:c>
      <x:c r="C302" s="12" t="str">
        <x:v>WP08</x:v>
      </x:c>
      <x:c r="D302" s="12" t="str">
        <x:v>부분 구현</x:v>
      </x:c>
      <x:c r="E302" s="12" t="str">
        <x:v>P0</x:v>
      </x:c>
      <x:c r="F302" s="12" t="str">
        <x:v>CPF Fluent 호출 API</x:v>
      </x:c>
      <x:c r="G302" s="12" t="str">
        <x:v>Business/Generated Domain → CPF Public API → Runtime Engine → Provider Adapter 구조로 **CPF Fluent 호출 API** 기능을 제품 계약·기본 구현·실제 Consumer·운영 기능까지 연결한다. 단순 Interface, 화면 Route, Sample 문자열만으로 완료 처리하지 않는다.</x:v>
      </x:c>
      <x:c r="H302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02" s="12" t="str"/>
      <x:c r="J302" s="12" t="str">
        <x:v>WP01</x:v>
      </x:c>
      <x:c r="K302" s="12" t="str"/>
      <x:c r="L302" s="12" t="str"/>
    </x:row>
    <x:row r="303">
      <x:c r="A303" s="12" t="str">
        <x:v>CPF-QA-D03-INT-012</x:v>
      </x:c>
      <x:c r="B303" s="12" t="str">
        <x:v>INT</x:v>
      </x:c>
      <x:c r="C303" s="12" t="str">
        <x:v>WP08</x:v>
      </x:c>
      <x:c r="D303" s="12" t="str">
        <x:v>부분 구현</x:v>
      </x:c>
      <x:c r="E303" s="12" t="str">
        <x:v>P0</x:v>
      </x:c>
      <x:c r="F303" s="12" t="str">
        <x:v>Generated Typed Client</x:v>
      </x:c>
      <x:c r="G303" s="12" t="str">
        <x:v>Business/Generated Domain → CPF Public API → Runtime Engine → Provider Adapter 구조로 **Generated Typed Client** 기능을 제품 계약·기본 구현·실제 Consumer·운영 기능까지 연결한다. 단순 Interface, 화면 Route, Sample 문자열만으로 완료 처리하지 않는다.</x:v>
      </x:c>
      <x:c r="H303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03" s="12" t="str"/>
      <x:c r="J303" s="12" t="str">
        <x:v>WP01</x:v>
      </x:c>
      <x:c r="K303" s="12" t="str"/>
      <x:c r="L303" s="12" t="str"/>
    </x:row>
    <x:row r="304">
      <x:c r="A304" s="12" t="str">
        <x:v>CPF-QA-D03-INT-013</x:v>
      </x:c>
      <x:c r="B304" s="12" t="str">
        <x:v>INT</x:v>
      </x:c>
      <x:c r="C304" s="12" t="str">
        <x:v>WP08</x:v>
      </x:c>
      <x:c r="D304" s="12" t="str">
        <x:v>부분 구현</x:v>
      </x:c>
      <x:c r="E304" s="12" t="str">
        <x:v>P0</x:v>
      </x:c>
      <x:c r="F304" s="12" t="str">
        <x:v>Provider-neutral Public Contract</x:v>
      </x:c>
      <x:c r="G304" s="12" t="str">
        <x:v>Business/Generated Domain → CPF Public API → Runtime Engine → Provider Adapter 구조로 **Provider-neutral Public Contract** 기능을 제품 계약·기본 구현·실제 Consumer·운영 기능까지 연결한다. 단순 Interface, 화면 Route, Sample 문자열만으로 완료 처리하지 않는다.</x:v>
      </x:c>
      <x:c r="H304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04" s="12" t="str"/>
      <x:c r="J304" s="12" t="str">
        <x:v>WP01</x:v>
      </x:c>
      <x:c r="K304" s="12" t="str"/>
      <x:c r="L304" s="12" t="str"/>
    </x:row>
    <x:row r="305">
      <x:c r="A305" s="12" t="str">
        <x:v>CPF-QA-D03-INT-014</x:v>
      </x:c>
      <x:c r="B305" s="12" t="str">
        <x:v>INT</x:v>
      </x:c>
      <x:c r="C305" s="12" t="str">
        <x:v>WP08</x:v>
      </x:c>
      <x:c r="D305" s="12" t="str">
        <x:v>부분 구현</x:v>
      </x:c>
      <x:c r="E305" s="12" t="str">
        <x:v>P0</x:v>
      </x:c>
      <x:c r="F305" s="12" t="str">
        <x:v>Provider 예외·유형 누출 차단</x:v>
      </x:c>
      <x:c r="G305" s="12" t="str">
        <x:v>Business/Generated Domain → CPF Public API → Runtime Engine → Provider Adapter 구조로 **Provider 예외·유형 누출 차단** 기능을 제품 계약·기본 구현·실제 Consumer·운영 기능까지 연결한다. 단순 Interface, 화면 Route, Sample 문자열만으로 완료 처리하지 않는다.</x:v>
      </x:c>
      <x:c r="H305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05" s="12" t="str"/>
      <x:c r="J305" s="12" t="str">
        <x:v>WP01</x:v>
      </x:c>
      <x:c r="K305" s="12" t="str"/>
      <x:c r="L305" s="12" t="str"/>
    </x:row>
    <x:row r="306">
      <x:c r="A306" s="12" t="str">
        <x:v>CPF-QA-D03-INT-015</x:v>
      </x:c>
      <x:c r="B306" s="12" t="str">
        <x:v>INT</x:v>
      </x:c>
      <x:c r="C306" s="12" t="str">
        <x:v>WP08</x:v>
      </x:c>
      <x:c r="D306" s="12" t="str">
        <x:v>부분 구현</x:v>
      </x:c>
      <x:c r="E306" s="12" t="str">
        <x:v>P0</x:v>
      </x:c>
      <x:c r="F306" s="12" t="str">
        <x:v>Endpoint Profile Registry</x:v>
      </x:c>
      <x:c r="G306" s="12" t="str">
        <x:v>Business/Generated Domain → CPF Public API → Runtime Engine → Provider Adapter 구조로 **Endpoint Profile Registry** 기능을 제품 계약·기본 구현·실제 Consumer·운영 기능까지 연결한다. 단순 Interface, 화면 Route, Sample 문자열만으로 완료 처리하지 않는다.</x:v>
      </x:c>
      <x:c r="H306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06" s="12" t="str"/>
      <x:c r="J306" s="12" t="str">
        <x:v>WP01</x:v>
      </x:c>
      <x:c r="K306" s="12" t="str"/>
      <x:c r="L306" s="12" t="str"/>
    </x:row>
    <x:row r="307">
      <x:c r="A307" s="12" t="str">
        <x:v>CPF-QA-D03-INT-016</x:v>
      </x:c>
      <x:c r="B307" s="12" t="str">
        <x:v>INT</x:v>
      </x:c>
      <x:c r="C307" s="12" t="str">
        <x:v>WP08</x:v>
      </x:c>
      <x:c r="D307" s="12" t="str">
        <x:v>부분 구현</x:v>
      </x:c>
      <x:c r="E307" s="12" t="str">
        <x:v>P0</x:v>
      </x:c>
      <x:c r="F307" s="12" t="str">
        <x:v>Timeout Budget</x:v>
      </x:c>
      <x:c r="G307" s="12" t="str">
        <x:v>Business/Generated Domain → CPF Public API → Runtime Engine → Provider Adapter 구조로 **Timeout Budget** 기능을 제품 계약·기본 구현·실제 Consumer·운영 기능까지 연결한다. 단순 Interface, 화면 Route, Sample 문자열만으로 완료 처리하지 않는다.</x:v>
      </x:c>
      <x:c r="H307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07" s="12" t="str"/>
      <x:c r="J307" s="12" t="str">
        <x:v>WP01</x:v>
      </x:c>
      <x:c r="K307" s="12" t="str"/>
      <x:c r="L307" s="12" t="str"/>
    </x:row>
    <x:row r="308">
      <x:c r="A308" s="12" t="str">
        <x:v>CPF-QA-D03-INT-017</x:v>
      </x:c>
      <x:c r="B308" s="12" t="str">
        <x:v>INT</x:v>
      </x:c>
      <x:c r="C308" s="12" t="str">
        <x:v>WP08</x:v>
      </x:c>
      <x:c r="D308" s="12" t="str">
        <x:v>부분 구현</x:v>
      </x:c>
      <x:c r="E308" s="12" t="str">
        <x:v>P0</x:v>
      </x:c>
      <x:c r="F308" s="12" t="str">
        <x:v>Bounded Retry</x:v>
      </x:c>
      <x:c r="G308" s="12" t="str">
        <x:v>Business/Generated Domain → CPF Public API → Runtime Engine → Provider Adapter 구조로 **Bounded Retry** 기능을 제품 계약·기본 구현·실제 Consumer·운영 기능까지 연결한다. 단순 Interface, 화면 Route, Sample 문자열만으로 완료 처리하지 않는다.</x:v>
      </x:c>
      <x:c r="H308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08" s="12" t="str"/>
      <x:c r="J308" s="12" t="str">
        <x:v>WP01</x:v>
      </x:c>
      <x:c r="K308" s="12" t="str"/>
      <x:c r="L308" s="12" t="str"/>
    </x:row>
    <x:row r="309">
      <x:c r="A309" s="12" t="str">
        <x:v>CPF-QA-D03-INT-018</x:v>
      </x:c>
      <x:c r="B309" s="12" t="str">
        <x:v>INT</x:v>
      </x:c>
      <x:c r="C309" s="12" t="str">
        <x:v>WP08</x:v>
      </x:c>
      <x:c r="D309" s="12" t="str">
        <x:v>부분 구현</x:v>
      </x:c>
      <x:c r="E309" s="12" t="str">
        <x:v>P0</x:v>
      </x:c>
      <x:c r="F309" s="12" t="str">
        <x:v>Circuit Breaker</x:v>
      </x:c>
      <x:c r="G309" s="12" t="str">
        <x:v>Business/Generated Domain → CPF Public API → Runtime Engine → Provider Adapter 구조로 **Circuit Breaker** 기능을 제품 계약·기본 구현·실제 Consumer·운영 기능까지 연결한다. 단순 Interface, 화면 Route, Sample 문자열만으로 완료 처리하지 않는다.</x:v>
      </x:c>
      <x:c r="H309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09" s="12" t="str"/>
      <x:c r="J309" s="12" t="str">
        <x:v>WP01</x:v>
      </x:c>
      <x:c r="K309" s="12" t="str"/>
      <x:c r="L309" s="12" t="str"/>
    </x:row>
    <x:row r="310">
      <x:c r="A310" s="12" t="str">
        <x:v>CPF-QA-D03-INT-019</x:v>
      </x:c>
      <x:c r="B310" s="12" t="str">
        <x:v>INT</x:v>
      </x:c>
      <x:c r="C310" s="12" t="str">
        <x:v>WP08</x:v>
      </x:c>
      <x:c r="D310" s="12" t="str">
        <x:v>부분 구현</x:v>
      </x:c>
      <x:c r="E310" s="12" t="str">
        <x:v>P0</x:v>
      </x:c>
      <x:c r="F310" s="12" t="str">
        <x:v>Bulkhead</x:v>
      </x:c>
      <x:c r="G310" s="12" t="str">
        <x:v>Business/Generated Domain → CPF Public API → Runtime Engine → Provider Adapter 구조로 **Bulkhead** 기능을 제품 계약·기본 구현·실제 Consumer·운영 기능까지 연결한다. 단순 Interface, 화면 Route, Sample 문자열만으로 완료 처리하지 않는다.</x:v>
      </x:c>
      <x:c r="H310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10" s="12" t="str"/>
      <x:c r="J310" s="12" t="str">
        <x:v>WP01</x:v>
      </x:c>
      <x:c r="K310" s="12" t="str"/>
      <x:c r="L310" s="12" t="str"/>
    </x:row>
    <x:row r="311">
      <x:c r="A311" s="12" t="str">
        <x:v>CPF-QA-D03-INT-020</x:v>
      </x:c>
      <x:c r="B311" s="12" t="str">
        <x:v>INT</x:v>
      </x:c>
      <x:c r="C311" s="12" t="str">
        <x:v>WP08</x:v>
      </x:c>
      <x:c r="D311" s="12" t="str">
        <x:v>부분 구현</x:v>
      </x:c>
      <x:c r="E311" s="12" t="str">
        <x:v>P0</x:v>
      </x:c>
      <x:c r="F311" s="12" t="str">
        <x:v>Backpressure</x:v>
      </x:c>
      <x:c r="G311" s="12" t="str">
        <x:v>Business/Generated Domain → CPF Public API → Runtime Engine → Provider Adapter 구조로 **Backpressure** 기능을 제품 계약·기본 구현·실제 Consumer·운영 기능까지 연결한다. 단순 Interface, 화면 Route, Sample 문자열만으로 완료 처리하지 않는다.</x:v>
      </x:c>
      <x:c r="H311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11" s="12" t="str"/>
      <x:c r="J311" s="12" t="str">
        <x:v>WP01</x:v>
      </x:c>
      <x:c r="K311" s="12" t="str"/>
      <x:c r="L311" s="12" t="str"/>
    </x:row>
    <x:row r="312">
      <x:c r="A312" s="12" t="str">
        <x:v>CPF-QA-D03-INT-021</x:v>
      </x:c>
      <x:c r="B312" s="12" t="str">
        <x:v>INT</x:v>
      </x:c>
      <x:c r="C312" s="12" t="str">
        <x:v>WP08</x:v>
      </x:c>
      <x:c r="D312" s="12" t="str">
        <x:v>부분 구현</x:v>
      </x:c>
      <x:c r="E312" s="12" t="str">
        <x:v>P0</x:v>
      </x:c>
      <x:c r="F312" s="12" t="str">
        <x:v>Correlation·Trace 전파</x:v>
      </x:c>
      <x:c r="G312" s="12" t="str">
        <x:v>Business/Generated Domain → CPF Public API → Runtime Engine → Provider Adapter 구조로 **Correlation·Trace 전파** 기능을 제품 계약·기본 구현·실제 Consumer·운영 기능까지 연결한다. 단순 Interface, 화면 Route, Sample 문자열만으로 완료 처리하지 않는다.</x:v>
      </x:c>
      <x:c r="H312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12" s="12" t="str"/>
      <x:c r="J312" s="12" t="str">
        <x:v>WP01</x:v>
      </x:c>
      <x:c r="K312" s="12" t="str"/>
      <x:c r="L312" s="12" t="str"/>
    </x:row>
    <x:row r="313">
      <x:c r="A313" s="12" t="str">
        <x:v>CPF-QA-D03-INT-022</x:v>
      </x:c>
      <x:c r="B313" s="12" t="str">
        <x:v>INT</x:v>
      </x:c>
      <x:c r="C313" s="12" t="str">
        <x:v>WP08</x:v>
      </x:c>
      <x:c r="D313" s="12" t="str">
        <x:v>부분 구현</x:v>
      </x:c>
      <x:c r="E313" s="12" t="str">
        <x:v>P0</x:v>
      </x:c>
      <x:c r="F313" s="12" t="str">
        <x:v>Idempotency</x:v>
      </x:c>
      <x:c r="G313" s="12" t="str">
        <x:v>Business/Generated Domain → CPF Public API → Runtime Engine → Provider Adapter 구조로 **Idempotency** 기능을 제품 계약·기본 구현·실제 Consumer·운영 기능까지 연결한다. 단순 Interface, 화면 Route, Sample 문자열만으로 완료 처리하지 않는다.</x:v>
      </x:c>
      <x:c r="H313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13" s="12" t="str"/>
      <x:c r="J313" s="12" t="str">
        <x:v>WP01</x:v>
      </x:c>
      <x:c r="K313" s="12" t="str"/>
      <x:c r="L313" s="12" t="str"/>
    </x:row>
    <x:row r="314">
      <x:c r="A314" s="12" t="str">
        <x:v>CPF-QA-D03-INT-023</x:v>
      </x:c>
      <x:c r="B314" s="12" t="str">
        <x:v>INT</x:v>
      </x:c>
      <x:c r="C314" s="12" t="str">
        <x:v>WP08</x:v>
      </x:c>
      <x:c r="D314" s="12" t="str">
        <x:v>부분 구현</x:v>
      </x:c>
      <x:c r="E314" s="12" t="str">
        <x:v>P0</x:v>
      </x:c>
      <x:c r="F314" s="12" t="str">
        <x:v>Unknown Result</x:v>
      </x:c>
      <x:c r="G314" s="12" t="str">
        <x:v>Business/Generated Domain → CPF Public API → Runtime Engine → Provider Adapter 구조로 **Unknown Result** 기능을 제품 계약·기본 구현·실제 Consumer·운영 기능까지 연결한다. 단순 Interface, 화면 Route, Sample 문자열만으로 완료 처리하지 않는다.</x:v>
      </x:c>
      <x:c r="H314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14" s="12" t="str"/>
      <x:c r="J314" s="12" t="str">
        <x:v>WP01</x:v>
      </x:c>
      <x:c r="K314" s="12" t="str"/>
      <x:c r="L314" s="12" t="str"/>
    </x:row>
    <x:row r="315">
      <x:c r="A315" s="12" t="str">
        <x:v>CPF-QA-D03-INT-024</x:v>
      </x:c>
      <x:c r="B315" s="12" t="str">
        <x:v>INT</x:v>
      </x:c>
      <x:c r="C315" s="12" t="str">
        <x:v>WP08</x:v>
      </x:c>
      <x:c r="D315" s="12" t="str">
        <x:v>부분 구현</x:v>
      </x:c>
      <x:c r="E315" s="12" t="str">
        <x:v>P0</x:v>
      </x:c>
      <x:c r="F315" s="12" t="str">
        <x:v>Reconciliation</x:v>
      </x:c>
      <x:c r="G315" s="12" t="str">
        <x:v>Business/Generated Domain → CPF Public API → Runtime Engine → Provider Adapter 구조로 **Reconciliation** 기능을 제품 계약·기본 구현·실제 Consumer·운영 기능까지 연결한다. 단순 Interface, 화면 Route, Sample 문자열만으로 완료 처리하지 않는다.</x:v>
      </x:c>
      <x:c r="H315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15" s="12" t="str"/>
      <x:c r="J315" s="12" t="str">
        <x:v>WP01</x:v>
      </x:c>
      <x:c r="K315" s="12" t="str"/>
      <x:c r="L315" s="12" t="str"/>
    </x:row>
    <x:row r="316">
      <x:c r="A316" s="12" t="str">
        <x:v>CPF-QA-D03-INT-025</x:v>
      </x:c>
      <x:c r="B316" s="12" t="str">
        <x:v>INT</x:v>
      </x:c>
      <x:c r="C316" s="12" t="str">
        <x:v>WP08</x:v>
      </x:c>
      <x:c r="D316" s="12" t="str">
        <x:v>부분 구현</x:v>
      </x:c>
      <x:c r="E316" s="12" t="str">
        <x:v>P0</x:v>
      </x:c>
      <x:c r="F316" s="12" t="str">
        <x:v>Compensation Hook</x:v>
      </x:c>
      <x:c r="G316" s="12" t="str">
        <x:v>Business/Generated Domain → CPF Public API → Runtime Engine → Provider Adapter 구조로 **Compensation Hook** 기능을 제품 계약·기본 구현·실제 Consumer·운영 기능까지 연결한다. 단순 Interface, 화면 Route, Sample 문자열만으로 완료 처리하지 않는다.</x:v>
      </x:c>
      <x:c r="H316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16" s="12" t="str"/>
      <x:c r="J316" s="12" t="str">
        <x:v>WP01</x:v>
      </x:c>
      <x:c r="K316" s="12" t="str"/>
      <x:c r="L316" s="12" t="str"/>
    </x:row>
    <x:row r="317">
      <x:c r="A317" s="12" t="str">
        <x:v>CPF-QA-D03-INT-026</x:v>
      </x:c>
      <x:c r="B317" s="12" t="str">
        <x:v>INT</x:v>
      </x:c>
      <x:c r="C317" s="12" t="str">
        <x:v>WP08</x:v>
      </x:c>
      <x:c r="D317" s="12" t="str">
        <x:v>부분 구현</x:v>
      </x:c>
      <x:c r="E317" s="12" t="str">
        <x:v>P0</x:v>
      </x:c>
      <x:c r="F317" s="12" t="str">
        <x:v>Security·Credential Reference</x:v>
      </x:c>
      <x:c r="G317" s="12" t="str">
        <x:v>Business/Generated Domain → CPF Public API → Runtime Engine → Provider Adapter 구조로 **Security·Credential Reference** 기능을 제품 계약·기본 구현·실제 Consumer·운영 기능까지 연결한다. 단순 Interface, 화면 Route, Sample 문자열만으로 완료 처리하지 않는다.</x:v>
      </x:c>
      <x:c r="H317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17" s="12" t="str"/>
      <x:c r="J317" s="12" t="str">
        <x:v>WP01</x:v>
      </x:c>
      <x:c r="K317" s="12" t="str"/>
      <x:c r="L317" s="12" t="str"/>
    </x:row>
    <x:row r="318">
      <x:c r="A318" s="12" t="str">
        <x:v>CPF-QA-D03-INT-027</x:v>
      </x:c>
      <x:c r="B318" s="12" t="str">
        <x:v>INT</x:v>
      </x:c>
      <x:c r="C318" s="12" t="str">
        <x:v>WP08</x:v>
      </x:c>
      <x:c r="D318" s="12" t="str">
        <x:v>부분 구현</x:v>
      </x:c>
      <x:c r="E318" s="12" t="str">
        <x:v>P0</x:v>
      </x:c>
      <x:c r="F318" s="12" t="str">
        <x:v>Metrics·Tracing</x:v>
      </x:c>
      <x:c r="G318" s="12" t="str">
        <x:v>Business/Generated Domain → CPF Public API → Runtime Engine → Provider Adapter 구조로 **Metrics·Tracing** 기능을 제품 계약·기본 구현·실제 Consumer·운영 기능까지 연결한다. 단순 Interface, 화면 Route, Sample 문자열만으로 완료 처리하지 않는다.</x:v>
      </x:c>
      <x:c r="H318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18" s="12" t="str"/>
      <x:c r="J318" s="12" t="str">
        <x:v>WP01</x:v>
      </x:c>
      <x:c r="K318" s="12" t="str"/>
      <x:c r="L318" s="12" t="str"/>
    </x:row>
    <x:row r="319">
      <x:c r="A319" s="12" t="str">
        <x:v>CPF-QA-D03-INT-028</x:v>
      </x:c>
      <x:c r="B319" s="12" t="str">
        <x:v>INT</x:v>
      </x:c>
      <x:c r="C319" s="12" t="str">
        <x:v>WP08</x:v>
      </x:c>
      <x:c r="D319" s="12" t="str">
        <x:v>부분 구현</x:v>
      </x:c>
      <x:c r="E319" s="12" t="str">
        <x:v>P0</x:v>
      </x:c>
      <x:c r="F319" s="12" t="str">
        <x:v>Safe ConfigurationProperties 기본값</x:v>
      </x:c>
      <x:c r="G319" s="12" t="str">
        <x:v>Business/Generated Domain → CPF Public API → Runtime Engine → Provider Adapter 구조로 **Safe ConfigurationProperties 기본값** 기능을 제품 계약·기본 구현·실제 Consumer·운영 기능까지 연결한다. 단순 Interface, 화면 Route, Sample 문자열만으로 완료 처리하지 않는다.</x:v>
      </x:c>
      <x:c r="H319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19" s="12" t="str"/>
      <x:c r="J319" s="12" t="str">
        <x:v>WP01</x:v>
      </x:c>
      <x:c r="K319" s="12" t="str"/>
      <x:c r="L319" s="12" t="str"/>
    </x:row>
    <x:row r="320">
      <x:c r="A320" s="12" t="str">
        <x:v>CPF-QA-D03-INT-029</x:v>
      </x:c>
      <x:c r="B320" s="12" t="str">
        <x:v>INT</x:v>
      </x:c>
      <x:c r="C320" s="12" t="str">
        <x:v>WP08</x:v>
      </x:c>
      <x:c r="D320" s="12" t="str">
        <x:v>부분 구현</x:v>
      </x:c>
      <x:c r="E320" s="12" t="str">
        <x:v>P0</x:v>
      </x:c>
      <x:c r="F320" s="12" t="str">
        <x:v>설정 Metadata·Fail-fast</x:v>
      </x:c>
      <x:c r="G320" s="12" t="str">
        <x:v>Business/Generated Domain → CPF Public API → Runtime Engine → Provider Adapter 구조로 **설정 Metadata·Fail-fast** 기능을 제품 계약·기본 구현·실제 Consumer·운영 기능까지 연결한다. 단순 Interface, 화면 Route, Sample 문자열만으로 완료 처리하지 않는다.</x:v>
      </x:c>
      <x:c r="H320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20" s="12" t="str"/>
      <x:c r="J320" s="12" t="str">
        <x:v>WP01</x:v>
      </x:c>
      <x:c r="K320" s="12" t="str"/>
      <x:c r="L320" s="12" t="str"/>
    </x:row>
    <x:row r="321">
      <x:c r="A321" s="12" t="str">
        <x:v>CPF-QA-D03-INT-030</x:v>
      </x:c>
      <x:c r="B321" s="12" t="str">
        <x:v>INT</x:v>
      </x:c>
      <x:c r="C321" s="12" t="str">
        <x:v>WP08</x:v>
      </x:c>
      <x:c r="D321" s="12" t="str">
        <x:v>부분 구현</x:v>
      </x:c>
      <x:c r="E321" s="12" t="str">
        <x:v>P0</x:v>
      </x:c>
      <x:c r="F321" s="12" t="str">
        <x:v>설정 우선순위 계층</x:v>
      </x:c>
      <x:c r="G321" s="12" t="str">
        <x:v>Business/Generated Domain → CPF Public API → Runtime Engine → Provider Adapter 구조로 **설정 우선순위 계층** 기능을 제품 계약·기본 구현·실제 Consumer·운영 기능까지 연결한다. 단순 Interface, 화면 Route, Sample 문자열만으로 완료 처리하지 않는다.</x:v>
      </x:c>
      <x:c r="H321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21" s="12" t="str"/>
      <x:c r="J321" s="12" t="str">
        <x:v>WP01</x:v>
      </x:c>
      <x:c r="K321" s="12" t="str"/>
      <x:c r="L321" s="12" t="str"/>
    </x:row>
    <x:row r="322">
      <x:c r="A322" s="12" t="str">
        <x:v>CPF-QA-D03-INT-031</x:v>
      </x:c>
      <x:c r="B322" s="12" t="str">
        <x:v>INT</x:v>
      </x:c>
      <x:c r="C322" s="12" t="str">
        <x:v>WP08</x:v>
      </x:c>
      <x:c r="D322" s="12" t="str">
        <x:v>부분 구현</x:v>
      </x:c>
      <x:c r="E322" s="12" t="str">
        <x:v>P0</x:v>
      </x:c>
      <x:c r="F322" s="12" t="str">
        <x:v>승인된 Runtime Override</x:v>
      </x:c>
      <x:c r="G322" s="12" t="str">
        <x:v>Business/Generated Domain → CPF Public API → Runtime Engine → Provider Adapter 구조로 **승인된 Runtime Override** 기능을 제품 계약·기본 구현·실제 Consumer·운영 기능까지 연결한다. 단순 Interface, 화면 Route, Sample 문자열만으로 완료 처리하지 않는다.</x:v>
      </x:c>
      <x:c r="H322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22" s="12" t="str"/>
      <x:c r="J322" s="12" t="str">
        <x:v>WP01</x:v>
      </x:c>
      <x:c r="K322" s="12" t="str"/>
      <x:c r="L322" s="12" t="str"/>
    </x:row>
    <x:row r="323">
      <x:c r="A323" s="12" t="str">
        <x:v>CPF-QA-D03-INT-032</x:v>
      </x:c>
      <x:c r="B323" s="12" t="str">
        <x:v>INT</x:v>
      </x:c>
      <x:c r="C323" s="12" t="str">
        <x:v>WP08</x:v>
      </x:c>
      <x:c r="D323" s="12" t="str">
        <x:v>부분 구현</x:v>
      </x:c>
      <x:c r="E323" s="12" t="str">
        <x:v>P0</x:v>
      </x:c>
      <x:c r="F323" s="12" t="str">
        <x:v>Per-call Override 보안 상한</x:v>
      </x:c>
      <x:c r="G323" s="12" t="str">
        <x:v>Business/Generated Domain → CPF Public API → Runtime Engine → Provider Adapter 구조로 **Per-call Override 보안 상한** 기능을 제품 계약·기본 구현·실제 Consumer·운영 기능까지 연결한다. 단순 Interface, 화면 Route, Sample 문자열만으로 완료 처리하지 않는다.</x:v>
      </x:c>
      <x:c r="H323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23" s="12" t="str"/>
      <x:c r="J323" s="12" t="str">
        <x:v>WP01</x:v>
      </x:c>
      <x:c r="K323" s="12" t="str"/>
      <x:c r="L323" s="12" t="str"/>
    </x:row>
    <x:row r="324">
      <x:c r="A324" s="12" t="str">
        <x:v>CPF-QA-D03-INT-033</x:v>
      </x:c>
      <x:c r="B324" s="12" t="str">
        <x:v>INT</x:v>
      </x:c>
      <x:c r="C324" s="12" t="str">
        <x:v>WP08</x:v>
      </x:c>
      <x:c r="D324" s="12" t="str">
        <x:v>부분 구현</x:v>
      </x:c>
      <x:c r="E324" s="12" t="str">
        <x:v>P0</x:v>
      </x:c>
      <x:c r="F324" s="12" t="str">
        <x:v>Provider Adapter 교체</x:v>
      </x:c>
      <x:c r="G324" s="12" t="str">
        <x:v>Business/Generated Domain → CPF Public API → Runtime Engine → Provider Adapter 구조로 **Provider Adapter 교체** 기능을 제품 계약·기본 구현·실제 Consumer·운영 기능까지 연결한다. 단순 Interface, 화면 Route, Sample 문자열만으로 완료 처리하지 않는다.</x:v>
      </x:c>
      <x:c r="H324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24" s="12" t="str"/>
      <x:c r="J324" s="12" t="str">
        <x:v>WP01</x:v>
      </x:c>
      <x:c r="K324" s="12" t="str"/>
      <x:c r="L324" s="12" t="str"/>
    </x:row>
    <x:row r="325">
      <x:c r="A325" s="12" t="str">
        <x:v>CPF-QA-D03-INT-034</x:v>
      </x:c>
      <x:c r="B325" s="12" t="str">
        <x:v>INT</x:v>
      </x:c>
      <x:c r="C325" s="12" t="str">
        <x:v>WP08</x:v>
      </x:c>
      <x:c r="D325" s="12" t="str">
        <x:v>부분 구현</x:v>
      </x:c>
      <x:c r="E325" s="12" t="str">
        <x:v>P0</x:v>
      </x:c>
      <x:c r="F325" s="12" t="str">
        <x:v>실제 Consumer 이관</x:v>
      </x:c>
      <x:c r="G325" s="12" t="str">
        <x:v>Business/Generated Domain → CPF Public API → Runtime Engine → Provider Adapter 구조로 **실제 Consumer 이관** 기능을 제품 계약·기본 구현·실제 Consumer·운영 기능까지 연결한다. 단순 Interface, 화면 Route, Sample 문자열만으로 완료 처리하지 않는다.</x:v>
      </x:c>
      <x:c r="H325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25" s="12" t="str"/>
      <x:c r="J325" s="12" t="str">
        <x:v>WP01</x:v>
      </x:c>
      <x:c r="K325" s="12" t="str"/>
      <x:c r="L325" s="12" t="str"/>
    </x:row>
    <x:row r="326">
      <x:c r="A326" s="12" t="str">
        <x:v>CPF-QA-D03-INT-035</x:v>
      </x:c>
      <x:c r="B326" s="12" t="str">
        <x:v>INT</x:v>
      </x:c>
      <x:c r="C326" s="12" t="str">
        <x:v>WP08</x:v>
      </x:c>
      <x:c r="D326" s="12" t="str">
        <x:v>부분 구현</x:v>
      </x:c>
      <x:c r="E326" s="12" t="str">
        <x:v>P0</x:v>
      </x:c>
      <x:c r="F326" s="12" t="str">
        <x:v>직접 Library 예외 승인·만료</x:v>
      </x:c>
      <x:c r="G326" s="12" t="str">
        <x:v>Business/Generated Domain → CPF Public API → Runtime Engine → Provider Adapter 구조로 **직접 Library 예외 승인·만료** 기능을 제품 계약·기본 구현·실제 Consumer·운영 기능까지 연결한다. 단순 Interface, 화면 Route, Sample 문자열만으로 완료 처리하지 않는다.</x:v>
      </x:c>
      <x:c r="H326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26" s="12" t="str"/>
      <x:c r="J326" s="12" t="str">
        <x:v>WP01</x:v>
      </x:c>
      <x:c r="K326" s="12" t="str"/>
      <x:c r="L326" s="12" t="str"/>
    </x:row>
    <x:row r="327">
      <x:c r="A327" s="12" t="str">
        <x:v>CPF-QA-D03-INT-036</x:v>
      </x:c>
      <x:c r="B327" s="12" t="str">
        <x:v>INT</x:v>
      </x:c>
      <x:c r="C327" s="12" t="str">
        <x:v>WP08</x:v>
      </x:c>
      <x:c r="D327" s="12" t="str">
        <x:v>부분 구현</x:v>
      </x:c>
      <x:c r="E327" s="12" t="str">
        <x:v>P0</x:v>
      </x:c>
      <x:c r="F327" s="12" t="str">
        <x:v>Static Direct-client Gate</x:v>
      </x:c>
      <x:c r="G327" s="12" t="str">
        <x:v>Business/Generated Domain → CPF Public API → Runtime Engine → Provider Adapter 구조로 **Static Direct-client Gate** 기능을 제품 계약·기본 구현·실제 Consumer·운영 기능까지 연결한다. 단순 Interface, 화면 Route, Sample 문자열만으로 완료 처리하지 않는다.</x:v>
      </x:c>
      <x:c r="H327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27" s="12" t="str"/>
      <x:c r="J327" s="12" t="str">
        <x:v>WP01</x:v>
      </x:c>
      <x:c r="K327" s="12" t="str"/>
      <x:c r="L327" s="12" t="str"/>
    </x:row>
    <x:row r="328">
      <x:c r="A328" s="12" t="str">
        <x:v>CPF-QA-D03-INT-037</x:v>
      </x:c>
      <x:c r="B328" s="12" t="str">
        <x:v>INT</x:v>
      </x:c>
      <x:c r="C328" s="12" t="str">
        <x:v>WP08</x:v>
      </x:c>
      <x:c r="D328" s="12" t="str">
        <x:v>부분 구현</x:v>
      </x:c>
      <x:c r="E328" s="12" t="str">
        <x:v>P0</x:v>
      </x:c>
      <x:c r="F328" s="12" t="str">
        <x:v>Testkit·Simulator</x:v>
      </x:c>
      <x:c r="G328" s="12" t="str">
        <x:v>Business/Generated Domain → CPF Public API → Runtime Engine → Provider Adapter 구조로 **Testkit·Simulator** 기능을 제품 계약·기본 구현·실제 Consumer·운영 기능까지 연결한다. 단순 Interface, 화면 Route, Sample 문자열만으로 완료 처리하지 않는다.</x:v>
      </x:c>
      <x:c r="H328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28" s="12" t="str"/>
      <x:c r="J328" s="12" t="str">
        <x:v>WP01</x:v>
      </x:c>
      <x:c r="K328" s="12" t="str"/>
      <x:c r="L328" s="12" t="str"/>
    </x:row>
    <x:row r="329">
      <x:c r="A329" s="12" t="str">
        <x:v>CPF-QA-D03-INT-038</x:v>
      </x:c>
      <x:c r="B329" s="12" t="str">
        <x:v>INT</x:v>
      </x:c>
      <x:c r="C329" s="12" t="str">
        <x:v>WP08</x:v>
      </x:c>
      <x:c r="D329" s="12" t="str">
        <x:v>부분 구현</x:v>
      </x:c>
      <x:c r="E329" s="12" t="str">
        <x:v>P0</x:v>
      </x:c>
      <x:c r="F329" s="12" t="str">
        <x:v>Generator·EDU 연계</x:v>
      </x:c>
      <x:c r="G329" s="12" t="str">
        <x:v>Business/Generated Domain → CPF Public API → Runtime Engine → Provider Adapter 구조로 **Generator·EDU 연계** 기능을 제품 계약·기본 구현·실제 Consumer·운영 기능까지 연결한다. 단순 Interface, 화면 Route, Sample 문자열만으로 완료 처리하지 않는다.</x:v>
      </x:c>
      <x:c r="H329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29" s="12" t="str"/>
      <x:c r="J329" s="12" t="str">
        <x:v>WP01</x:v>
      </x:c>
      <x:c r="K329" s="12" t="str"/>
      <x:c r="L329" s="12" t="str"/>
    </x:row>
    <x:row r="330">
      <x:c r="A330" s="12" t="str">
        <x:v>CPF-QA-D03-INT-039</x:v>
      </x:c>
      <x:c r="B330" s="12" t="str">
        <x:v>INT</x:v>
      </x:c>
      <x:c r="C330" s="12" t="str">
        <x:v>WP08</x:v>
      </x:c>
      <x:c r="D330" s="12" t="str">
        <x:v>부분 구현</x:v>
      </x:c>
      <x:c r="E330" s="12" t="str">
        <x:v>P0</x:v>
      </x:c>
      <x:c r="F330" s="12" t="str">
        <x:v>운영 조회·제어</x:v>
      </x:c>
      <x:c r="G330" s="12" t="str">
        <x:v>Business/Generated Domain → CPF Public API → Runtime Engine → Provider Adapter 구조로 **운영 조회·제어** 기능을 제품 계약·기본 구현·실제 Consumer·운영 기능까지 연결한다. 단순 Interface, 화면 Route, Sample 문자열만으로 완료 처리하지 않는다.</x:v>
      </x:c>
      <x:c r="H330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30" s="12" t="str"/>
      <x:c r="J330" s="12" t="str">
        <x:v>WP01</x:v>
      </x:c>
      <x:c r="K330" s="12" t="str"/>
      <x:c r="L330" s="12" t="str"/>
    </x:row>
    <x:row r="331">
      <x:c r="A331" s="12" t="str">
        <x:v>CPF-QA-D03-INT-040</x:v>
      </x:c>
      <x:c r="B331" s="12" t="str">
        <x:v>INT</x:v>
      </x:c>
      <x:c r="C331" s="12" t="str">
        <x:v>WP08</x:v>
      </x:c>
      <x:c r="D331" s="12" t="str">
        <x:v>부분 구현</x:v>
      </x:c>
      <x:c r="E331" s="12" t="str">
        <x:v>P0</x:v>
      </x:c>
      <x:c r="F331" s="12" t="str">
        <x:v>License·SBOM·CVE</x:v>
      </x:c>
      <x:c r="G331" s="12" t="str">
        <x:v>Business/Generated Domain → CPF Public API → Runtime Engine → Provider Adapter 구조로 **License·SBOM·CVE** 기능을 제품 계약·기본 구현·실제 Consumer·운영 기능까지 연결한다. 단순 Interface, 화면 Route, Sample 문자열만으로 완료 처리하지 않는다.</x:v>
      </x:c>
      <x:c r="H331" s="12" t="str">
        <x:v>Source scan·ArchUnit·실제 Consumer·Provider 교체 Test·오류/복구 Runtime으로 정상·오류·경계·부분 실패·재시도/복구·권한·감사·다중 인스턴스 영향까지 자동 Test와 최신 SHA Evidence로 검증한다.</x:v>
      </x:c>
      <x:c r="I331" s="12" t="str"/>
      <x:c r="J331" s="12" t="str">
        <x:v>WP01</x:v>
      </x:c>
      <x:c r="K331" s="12" t="str"/>
      <x:c r="L331" s="12" t="str"/>
    </x:row>
    <x:row r="332">
      <x:c r="A332" s="12" t="str">
        <x:v>CPF-QA-D03-META-001</x:v>
      </x:c>
      <x:c r="B332" s="12" t="str">
        <x:v>META</x:v>
      </x:c>
      <x:c r="C332" s="12" t="str">
        <x:v>WP09</x:v>
      </x:c>
      <x:c r="D332" s="12" t="str">
        <x:v>부분 구현</x:v>
      </x:c>
      <x:c r="E332" s="12" t="str">
        <x:v>P1</x:v>
      </x:c>
      <x:c r="F332" s="12" t="str">
        <x:v>Parameter Registry</x:v>
      </x:c>
      <x:c r="G332" s="12" t="str">
        <x:v>통합 Registry/Metadata Platform에서 **Parameter Registry** 기능을 제품 계약·기본 구현·실제 Consumer·운영 기능까지 연결한다. 단순 Interface, 화면 Route, Sample 문자열만으로 완료 처리하지 않는다.</x:v>
      </x:c>
      <x:c r="H332" s="12" t="str">
        <x:v>Owner·namespace·version·effective date·approval·audit·rollback·multi-instance 적용을 정상·오류·경계·부분 실패·재시도/복구·권한·감사·다중 인스턴스 영향까지 자동 Test와 최신 SHA Evidence로 검증한다.</x:v>
      </x:c>
      <x:c r="I332" s="12" t="str"/>
      <x:c r="J332" s="12" t="str">
        <x:v>WP01,WP08</x:v>
      </x:c>
      <x:c r="K332" s="12" t="str"/>
      <x:c r="L332" s="12" t="str"/>
    </x:row>
    <x:row r="333">
      <x:c r="A333" s="12" t="str">
        <x:v>CPF-QA-D03-META-002</x:v>
      </x:c>
      <x:c r="B333" s="12" t="str">
        <x:v>META</x:v>
      </x:c>
      <x:c r="C333" s="12" t="str">
        <x:v>WP09</x:v>
      </x:c>
      <x:c r="D333" s="12" t="str">
        <x:v>부분 구현</x:v>
      </x:c>
      <x:c r="E333" s="12" t="str">
        <x:v>P1</x:v>
      </x:c>
      <x:c r="F333" s="12" t="str">
        <x:v>Common Code Group·Code Registry</x:v>
      </x:c>
      <x:c r="G333" s="12" t="str">
        <x:v>통합 Registry/Metadata Platform에서 **Common Code Group·Code Registry** 기능을 제품 계약·기본 구현·실제 Consumer·운영 기능까지 연결한다. 단순 Interface, 화면 Route, Sample 문자열만으로 완료 처리하지 않는다.</x:v>
      </x:c>
      <x:c r="H333" s="12" t="str">
        <x:v>Owner·namespace·version·effective date·approval·audit·rollback·multi-instance 적용을 정상·오류·경계·부분 실패·재시도/복구·권한·감사·다중 인스턴스 영향까지 자동 Test와 최신 SHA Evidence로 검증한다.</x:v>
      </x:c>
      <x:c r="I333" s="12" t="str"/>
      <x:c r="J333" s="12" t="str">
        <x:v>WP01,WP08</x:v>
      </x:c>
      <x:c r="K333" s="12" t="str"/>
      <x:c r="L333" s="12" t="str"/>
    </x:row>
    <x:row r="334">
      <x:c r="A334" s="12" t="str">
        <x:v>CPF-QA-D03-META-003</x:v>
      </x:c>
      <x:c r="B334" s="12" t="str">
        <x:v>META</x:v>
      </x:c>
      <x:c r="C334" s="12" t="str">
        <x:v>WP09</x:v>
      </x:c>
      <x:c r="D334" s="12" t="str">
        <x:v>부분 구현</x:v>
      </x:c>
      <x:c r="E334" s="12" t="str">
        <x:v>P1</x:v>
      </x:c>
      <x:c r="F334" s="12" t="str">
        <x:v>Business Rule Registry</x:v>
      </x:c>
      <x:c r="G334" s="12" t="str">
        <x:v>통합 Registry/Metadata Platform에서 **Business Rule Registry** 기능을 제품 계약·기본 구현·실제 Consumer·운영 기능까지 연결한다. 단순 Interface, 화면 Route, Sample 문자열만으로 완료 처리하지 않는다.</x:v>
      </x:c>
      <x:c r="H334" s="12" t="str">
        <x:v>Owner·namespace·version·effective date·approval·audit·rollback·multi-instance 적용을 정상·오류·경계·부분 실패·재시도/복구·권한·감사·다중 인스턴스 영향까지 자동 Test와 최신 SHA Evidence로 검증한다.</x:v>
      </x:c>
      <x:c r="I334" s="12" t="str"/>
      <x:c r="J334" s="12" t="str">
        <x:v>WP01,WP08</x:v>
      </x:c>
      <x:c r="K334" s="12" t="str"/>
      <x:c r="L334" s="12" t="str"/>
    </x:row>
    <x:row r="335">
      <x:c r="A335" s="12" t="str">
        <x:v>CPF-QA-D03-META-004</x:v>
      </x:c>
      <x:c r="B335" s="12" t="str">
        <x:v>META</x:v>
      </x:c>
      <x:c r="C335" s="12" t="str">
        <x:v>WP09</x:v>
      </x:c>
      <x:c r="D335" s="12" t="str">
        <x:v>부분 구현</x:v>
      </x:c>
      <x:c r="E335" s="12" t="str">
        <x:v>P1</x:v>
      </x:c>
      <x:c r="F335" s="12" t="str">
        <x:v>Validation Rule Registry</x:v>
      </x:c>
      <x:c r="G335" s="12" t="str">
        <x:v>통합 Registry/Metadata Platform에서 **Validation Rule Registry** 기능을 제품 계약·기본 구현·실제 Consumer·운영 기능까지 연결한다. 단순 Interface, 화면 Route, Sample 문자열만으로 완료 처리하지 않는다.</x:v>
      </x:c>
      <x:c r="H335" s="12" t="str">
        <x:v>Owner·namespace·version·effective date·approval·audit·rollback·multi-instance 적용을 정상·오류·경계·부분 실패·재시도/복구·권한·감사·다중 인스턴스 영향까지 자동 Test와 최신 SHA Evidence로 검증한다.</x:v>
      </x:c>
      <x:c r="I335" s="12" t="str"/>
      <x:c r="J335" s="12" t="str">
        <x:v>WP01,WP08</x:v>
      </x:c>
      <x:c r="K335" s="12" t="str"/>
      <x:c r="L335" s="12" t="str"/>
    </x:row>
    <x:row r="336">
      <x:c r="A336" s="12" t="str">
        <x:v>CPF-QA-D03-META-005</x:v>
      </x:c>
      <x:c r="B336" s="12" t="str">
        <x:v>META</x:v>
      </x:c>
      <x:c r="C336" s="12" t="str">
        <x:v>WP09</x:v>
      </x:c>
      <x:c r="D336" s="12" t="str">
        <x:v>부분 구현</x:v>
      </x:c>
      <x:c r="E336" s="12" t="str">
        <x:v>P1</x:v>
      </x:c>
      <x:c r="F336" s="12" t="str">
        <x:v>State·State Transition Registry</x:v>
      </x:c>
      <x:c r="G336" s="12" t="str">
        <x:v>통합 Registry/Metadata Platform에서 **State·State Transition Registry** 기능을 제품 계약·기본 구현·실제 Consumer·운영 기능까지 연결한다. 단순 Interface, 화면 Route, Sample 문자열만으로 완료 처리하지 않는다.</x:v>
      </x:c>
      <x:c r="H336" s="12" t="str">
        <x:v>Owner·namespace·version·effective date·approval·audit·rollback·multi-instance 적용을 정상·오류·경계·부분 실패·재시도/복구·권한·감사·다중 인스턴스 영향까지 자동 Test와 최신 SHA Evidence로 검증한다.</x:v>
      </x:c>
      <x:c r="I336" s="12" t="str"/>
      <x:c r="J336" s="12" t="str">
        <x:v>WP01,WP08</x:v>
      </x:c>
      <x:c r="K336" s="12" t="str"/>
      <x:c r="L336" s="12" t="str"/>
    </x:row>
    <x:row r="337">
      <x:c r="A337" s="12" t="str">
        <x:v>CPF-QA-D03-META-006</x:v>
      </x:c>
      <x:c r="B337" s="12" t="str">
        <x:v>META</x:v>
      </x:c>
      <x:c r="C337" s="12" t="str">
        <x:v>WP09</x:v>
      </x:c>
      <x:c r="D337" s="12" t="str">
        <x:v>부분 구현</x:v>
      </x:c>
      <x:c r="E337" s="12" t="str">
        <x:v>P1</x:v>
      </x:c>
      <x:c r="F337" s="12" t="str">
        <x:v>Approval Line Registry</x:v>
      </x:c>
      <x:c r="G337" s="12" t="str">
        <x:v>통합 Registry/Metadata Platform에서 **Approval Line Registry** 기능을 제품 계약·기본 구현·실제 Consumer·운영 기능까지 연결한다. 단순 Interface, 화면 Route, Sample 문자열만으로 완료 처리하지 않는다.</x:v>
      </x:c>
      <x:c r="H337" s="12" t="str">
        <x:v>Owner·namespace·version·effective date·approval·audit·rollback·multi-instance 적용을 정상·오류·경계·부분 실패·재시도/복구·권한·감사·다중 인스턴스 영향까지 자동 Test와 최신 SHA Evidence로 검증한다.</x:v>
      </x:c>
      <x:c r="I337" s="12" t="str"/>
      <x:c r="J337" s="12" t="str">
        <x:v>WP01,WP08</x:v>
      </x:c>
      <x:c r="K337" s="12" t="str"/>
      <x:c r="L337" s="12" t="str"/>
    </x:row>
    <x:row r="338">
      <x:c r="A338" s="12" t="str">
        <x:v>CPF-QA-D03-META-007</x:v>
      </x:c>
      <x:c r="B338" s="12" t="str">
        <x:v>META</x:v>
      </x:c>
      <x:c r="C338" s="12" t="str">
        <x:v>WP09</x:v>
      </x:c>
      <x:c r="D338" s="12" t="str">
        <x:v>부분 구현</x:v>
      </x:c>
      <x:c r="E338" s="12" t="str">
        <x:v>P1</x:v>
      </x:c>
      <x:c r="F338" s="12" t="str">
        <x:v>Permission Policy Registry</x:v>
      </x:c>
      <x:c r="G338" s="12" t="str">
        <x:v>통합 Registry/Metadata Platform에서 **Permission Policy Registry** 기능을 제품 계약·기본 구현·실제 Consumer·운영 기능까지 연결한다. 단순 Interface, 화면 Route, Sample 문자열만으로 완료 처리하지 않는다.</x:v>
      </x:c>
      <x:c r="H338" s="12" t="str">
        <x:v>Owner·namespace·version·effective date·approval·audit·rollback·multi-instance 적용을 정상·오류·경계·부분 실패·재시도/복구·권한·감사·다중 인스턴스 영향까지 자동 Test와 최신 SHA Evidence로 검증한다.</x:v>
      </x:c>
      <x:c r="I338" s="12" t="str"/>
      <x:c r="J338" s="12" t="str">
        <x:v>WP01,WP08</x:v>
      </x:c>
      <x:c r="K338" s="12" t="str"/>
      <x:c r="L338" s="12" t="str"/>
    </x:row>
    <x:row r="339">
      <x:c r="A339" s="12" t="str">
        <x:v>CPF-QA-D03-META-008</x:v>
      </x:c>
      <x:c r="B339" s="12" t="str">
        <x:v>META</x:v>
      </x:c>
      <x:c r="C339" s="12" t="str">
        <x:v>WP09</x:v>
      </x:c>
      <x:c r="D339" s="12" t="str">
        <x:v>부분 구현</x:v>
      </x:c>
      <x:c r="E339" s="12" t="str">
        <x:v>P1</x:v>
      </x:c>
      <x:c r="F339" s="12" t="str">
        <x:v>Endpoint·Connector Profile Registry</x:v>
      </x:c>
      <x:c r="G339" s="12" t="str">
        <x:v>통합 Registry/Metadata Platform에서 **Endpoint·Connector Profile Registry** 기능을 제품 계약·기본 구현·실제 Consumer·운영 기능까지 연결한다. 단순 Interface, 화면 Route, Sample 문자열만으로 완료 처리하지 않는다.</x:v>
      </x:c>
      <x:c r="H339" s="12" t="str">
        <x:v>Owner·namespace·version·effective date·approval·audit·rollback·multi-instance 적용을 정상·오류·경계·부분 실패·재시도/복구·권한·감사·다중 인스턴스 영향까지 자동 Test와 최신 SHA Evidence로 검증한다.</x:v>
      </x:c>
      <x:c r="I339" s="12" t="str"/>
      <x:c r="J339" s="12" t="str">
        <x:v>WP01,WP08</x:v>
      </x:c>
      <x:c r="K339" s="12" t="str"/>
      <x:c r="L339" s="12" t="str"/>
    </x:row>
    <x:row r="340">
      <x:c r="A340" s="12" t="str">
        <x:v>CPF-QA-D03-META-009</x:v>
      </x:c>
      <x:c r="B340" s="12" t="str">
        <x:v>META</x:v>
      </x:c>
      <x:c r="C340" s="12" t="str">
        <x:v>WP09</x:v>
      </x:c>
      <x:c r="D340" s="12" t="str">
        <x:v>부분 구현</x:v>
      </x:c>
      <x:c r="E340" s="12" t="str">
        <x:v>P1</x:v>
      </x:c>
      <x:c r="F340" s="12" t="str">
        <x:v>Retry·Timeout·Circuit Policy Registry</x:v>
      </x:c>
      <x:c r="G340" s="12" t="str">
        <x:v>통합 Registry/Metadata Platform에서 **Retry·Timeout·Circuit Policy Registry** 기능을 제품 계약·기본 구현·실제 Consumer·운영 기능까지 연결한다. 단순 Interface, 화면 Route, Sample 문자열만으로 완료 처리하지 않는다.</x:v>
      </x:c>
      <x:c r="H340" s="12" t="str">
        <x:v>Owner·namespace·version·effective date·approval·audit·rollback·multi-instance 적용을 정상·오류·경계·부분 실패·재시도/복구·권한·감사·다중 인스턴스 영향까지 자동 Test와 최신 SHA Evidence로 검증한다.</x:v>
      </x:c>
      <x:c r="I340" s="12" t="str"/>
      <x:c r="J340" s="12" t="str">
        <x:v>WP01,WP08</x:v>
      </x:c>
      <x:c r="K340" s="12" t="str"/>
      <x:c r="L340" s="12" t="str"/>
    </x:row>
    <x:row r="341">
      <x:c r="A341" s="12" t="str">
        <x:v>CPF-QA-D03-META-010</x:v>
      </x:c>
      <x:c r="B341" s="12" t="str">
        <x:v>META</x:v>
      </x:c>
      <x:c r="C341" s="12" t="str">
        <x:v>WP09</x:v>
      </x:c>
      <x:c r="D341" s="12" t="str">
        <x:v>부분 구현</x:v>
      </x:c>
      <x:c r="E341" s="12" t="str">
        <x:v>P1</x:v>
      </x:c>
      <x:c r="F341" s="12" t="str">
        <x:v>Topic·Queue·Routing Metadata</x:v>
      </x:c>
      <x:c r="G341" s="12" t="str">
        <x:v>통합 Registry/Metadata Platform에서 **Topic·Queue·Routing Metadata** 기능을 제품 계약·기본 구현·실제 Consumer·운영 기능까지 연결한다. 단순 Interface, 화면 Route, Sample 문자열만으로 완료 처리하지 않는다.</x:v>
      </x:c>
      <x:c r="H341" s="12" t="str">
        <x:v>Owner·namespace·version·effective date·approval·audit·rollback·multi-instance 적용을 정상·오류·경계·부분 실패·재시도/복구·권한·감사·다중 인스턴스 영향까지 자동 Test와 최신 SHA Evidence로 검증한다.</x:v>
      </x:c>
      <x:c r="I341" s="12" t="str"/>
      <x:c r="J341" s="12" t="str">
        <x:v>WP01,WP08</x:v>
      </x:c>
      <x:c r="K341" s="12" t="str"/>
      <x:c r="L341" s="12" t="str"/>
    </x:row>
    <x:row r="342">
      <x:c r="A342" s="12" t="str">
        <x:v>CPF-QA-D03-META-011</x:v>
      </x:c>
      <x:c r="B342" s="12" t="str">
        <x:v>META</x:v>
      </x:c>
      <x:c r="C342" s="12" t="str">
        <x:v>WP09</x:v>
      </x:c>
      <x:c r="D342" s="12" t="str">
        <x:v>부분 구현</x:v>
      </x:c>
      <x:c r="E342" s="12" t="str">
        <x:v>P1</x:v>
      </x:c>
      <x:c r="F342" s="12" t="str">
        <x:v>Message·API·Event Schema Registry</x:v>
      </x:c>
      <x:c r="G342" s="12" t="str">
        <x:v>통합 Registry/Metadata Platform에서 **Message·API·Event Schema Registry** 기능을 제품 계약·기본 구현·실제 Consumer·운영 기능까지 연결한다. 단순 Interface, 화면 Route, Sample 문자열만으로 완료 처리하지 않는다.</x:v>
      </x:c>
      <x:c r="H342" s="12" t="str">
        <x:v>Owner·namespace·version·effective date·approval·audit·rollback·multi-instance 적용을 정상·오류·경계·부분 실패·재시도/복구·권한·감사·다중 인스턴스 영향까지 자동 Test와 최신 SHA Evidence로 검증한다.</x:v>
      </x:c>
      <x:c r="I342" s="12" t="str"/>
      <x:c r="J342" s="12" t="str">
        <x:v>WP01,WP08</x:v>
      </x:c>
      <x:c r="K342" s="12" t="str"/>
      <x:c r="L342" s="12" t="str"/>
    </x:row>
    <x:row r="343">
      <x:c r="A343" s="12" t="str">
        <x:v>CPF-QA-D03-META-012</x:v>
      </x:c>
      <x:c r="B343" s="12" t="str">
        <x:v>META</x:v>
      </x:c>
      <x:c r="C343" s="12" t="str">
        <x:v>WP09</x:v>
      </x:c>
      <x:c r="D343" s="12" t="str">
        <x:v>부분 구현</x:v>
      </x:c>
      <x:c r="E343" s="12" t="str">
        <x:v>P1</x:v>
      </x:c>
      <x:c r="F343" s="12" t="str">
        <x:v>File Layout Registry</x:v>
      </x:c>
      <x:c r="G343" s="12" t="str">
        <x:v>통합 Registry/Metadata Platform에서 **File Layout Registry** 기능을 제품 계약·기본 구현·실제 Consumer·운영 기능까지 연결한다. 단순 Interface, 화면 Route, Sample 문자열만으로 완료 처리하지 않는다.</x:v>
      </x:c>
      <x:c r="H343" s="12" t="str">
        <x:v>Owner·namespace·version·effective date·approval·audit·rollback·multi-instance 적용을 정상·오류·경계·부분 실패·재시도/복구·권한·감사·다중 인스턴스 영향까지 자동 Test와 최신 SHA Evidence로 검증한다.</x:v>
      </x:c>
      <x:c r="I343" s="12" t="str"/>
      <x:c r="J343" s="12" t="str">
        <x:v>WP01,WP08</x:v>
      </x:c>
      <x:c r="K343" s="12" t="str"/>
      <x:c r="L343" s="12" t="str"/>
    </x:row>
    <x:row r="344">
      <x:c r="A344" s="12" t="str">
        <x:v>CPF-QA-D03-META-013</x:v>
      </x:c>
      <x:c r="B344" s="12" t="str">
        <x:v>META</x:v>
      </x:c>
      <x:c r="C344" s="12" t="str">
        <x:v>WP09</x:v>
      </x:c>
      <x:c r="D344" s="12" t="str">
        <x:v>부분 구현</x:v>
      </x:c>
      <x:c r="E344" s="12" t="str">
        <x:v>P1</x:v>
      </x:c>
      <x:c r="F344" s="12" t="str">
        <x:v>Mapping·Transformation Registry</x:v>
      </x:c>
      <x:c r="G344" s="12" t="str">
        <x:v>통합 Registry/Metadata Platform에서 **Mapping·Transformation Registry** 기능을 제품 계약·기본 구현·실제 Consumer·운영 기능까지 연결한다. 단순 Interface, 화면 Route, Sample 문자열만으로 완료 처리하지 않는다.</x:v>
      </x:c>
      <x:c r="H344" s="12" t="str">
        <x:v>Owner·namespace·version·effective date·approval·audit·rollback·multi-instance 적용을 정상·오류·경계·부분 실패·재시도/복구·권한·감사·다중 인스턴스 영향까지 자동 Test와 최신 SHA Evidence로 검증한다.</x:v>
      </x:c>
      <x:c r="I344" s="12" t="str"/>
      <x:c r="J344" s="12" t="str">
        <x:v>WP01,WP08</x:v>
      </x:c>
      <x:c r="K344" s="12" t="str"/>
      <x:c r="L344" s="12" t="str"/>
    </x:row>
    <x:row r="345">
      <x:c r="A345" s="12" t="str">
        <x:v>CPF-QA-D03-META-014</x:v>
      </x:c>
      <x:c r="B345" s="12" t="str">
        <x:v>META</x:v>
      </x:c>
      <x:c r="C345" s="12" t="str">
        <x:v>WP09</x:v>
      </x:c>
      <x:c r="D345" s="12" t="str">
        <x:v>부분 구현</x:v>
      </x:c>
      <x:c r="E345" s="12" t="str">
        <x:v>P1</x:v>
      </x:c>
      <x:c r="F345" s="12" t="str">
        <x:v>Notification Template Registry</x:v>
      </x:c>
      <x:c r="G345" s="12" t="str">
        <x:v>통합 Registry/Metadata Platform에서 **Notification Template Registry** 기능을 제품 계약·기본 구현·실제 Consumer·운영 기능까지 연결한다. 단순 Interface, 화면 Route, Sample 문자열만으로 완료 처리하지 않는다.</x:v>
      </x:c>
      <x:c r="H345" s="12" t="str">
        <x:v>Owner·namespace·version·effective date·approval·audit·rollback·multi-instance 적용을 정상·오류·경계·부분 실패·재시도/복구·권한·감사·다중 인스턴스 영향까지 자동 Test와 최신 SHA Evidence로 검증한다.</x:v>
      </x:c>
      <x:c r="I345" s="12" t="str"/>
      <x:c r="J345" s="12" t="str">
        <x:v>WP01,WP08</x:v>
      </x:c>
      <x:c r="K345" s="12" t="str"/>
      <x:c r="L345" s="12" t="str"/>
    </x:row>
    <x:row r="346">
      <x:c r="A346" s="12" t="str">
        <x:v>CPF-QA-D03-META-015</x:v>
      </x:c>
      <x:c r="B346" s="12" t="str">
        <x:v>META</x:v>
      </x:c>
      <x:c r="C346" s="12" t="str">
        <x:v>WP09</x:v>
      </x:c>
      <x:c r="D346" s="12" t="str">
        <x:v>부분 구현</x:v>
      </x:c>
      <x:c r="E346" s="12" t="str">
        <x:v>P1</x:v>
      </x:c>
      <x:c r="F346" s="12" t="str">
        <x:v>UI Menu·Feature Flag Registry</x:v>
      </x:c>
      <x:c r="G346" s="12" t="str">
        <x:v>통합 Registry/Metadata Platform에서 **UI Menu·Feature Flag Registry** 기능을 제품 계약·기본 구현·실제 Consumer·운영 기능까지 연결한다. 단순 Interface, 화면 Route, Sample 문자열만으로 완료 처리하지 않는다.</x:v>
      </x:c>
      <x:c r="H346" s="12" t="str">
        <x:v>Owner·namespace·version·effective date·approval·audit·rollback·multi-instance 적용을 정상·오류·경계·부분 실패·재시도/복구·권한·감사·다중 인스턴스 영향까지 자동 Test와 최신 SHA Evidence로 검증한다.</x:v>
      </x:c>
      <x:c r="I346" s="12" t="str"/>
      <x:c r="J346" s="12" t="str">
        <x:v>WP01,WP08</x:v>
      </x:c>
      <x:c r="K346" s="12" t="str"/>
      <x:c r="L346" s="12" t="str"/>
    </x:row>
    <x:row r="347">
      <x:c r="A347" s="12" t="str">
        <x:v>CPF-QA-D03-META-016</x:v>
      </x:c>
      <x:c r="B347" s="12" t="str">
        <x:v>META</x:v>
      </x:c>
      <x:c r="C347" s="12" t="str">
        <x:v>WP09</x:v>
      </x:c>
      <x:c r="D347" s="12" t="str">
        <x:v>부분 구현</x:v>
      </x:c>
      <x:c r="E347" s="12" t="str">
        <x:v>P1</x:v>
      </x:c>
      <x:c r="F347" s="12" t="str">
        <x:v>Batch·Scheduler Policy Registry</x:v>
      </x:c>
      <x:c r="G347" s="12" t="str">
        <x:v>통합 Registry/Metadata Platform에서 **Batch·Scheduler Policy Registry** 기능을 제품 계약·기본 구현·실제 Consumer·운영 기능까지 연결한다. 단순 Interface, 화면 Route, Sample 문자열만으로 완료 처리하지 않는다.</x:v>
      </x:c>
      <x:c r="H347" s="12" t="str">
        <x:v>Owner·namespace·version·effective date·approval·audit·rollback·multi-instance 적용을 정상·오류·경계·부분 실패·재시도/복구·권한·감사·다중 인스턴스 영향까지 자동 Test와 최신 SHA Evidence로 검증한다.</x:v>
      </x:c>
      <x:c r="I347" s="12" t="str"/>
      <x:c r="J347" s="12" t="str">
        <x:v>WP01,WP08</x:v>
      </x:c>
      <x:c r="K347" s="12" t="str"/>
      <x:c r="L347" s="12" t="str"/>
    </x:row>
    <x:row r="348">
      <x:c r="A348" s="12" t="str">
        <x:v>CPF-QA-D03-META-017</x:v>
      </x:c>
      <x:c r="B348" s="12" t="str">
        <x:v>META</x:v>
      </x:c>
      <x:c r="C348" s="12" t="str">
        <x:v>WP09</x:v>
      </x:c>
      <x:c r="D348" s="12" t="str">
        <x:v>부분 구현</x:v>
      </x:c>
      <x:c r="E348" s="12" t="str">
        <x:v>P1</x:v>
      </x:c>
      <x:c r="F348" s="12" t="str">
        <x:v>Masking·Sensitive Classification Registry</x:v>
      </x:c>
      <x:c r="G348" s="12" t="str">
        <x:v>통합 Registry/Metadata Platform에서 **Masking·Sensitive Classification Registry** 기능을 제품 계약·기본 구현·실제 Consumer·운영 기능까지 연결한다. 단순 Interface, 화면 Route, Sample 문자열만으로 완료 처리하지 않는다.</x:v>
      </x:c>
      <x:c r="H348" s="12" t="str">
        <x:v>Owner·namespace·version·effective date·approval·audit·rollback·multi-instance 적용을 정상·오류·경계·부분 실패·재시도/복구·권한·감사·다중 인스턴스 영향까지 자동 Test와 최신 SHA Evidence로 검증한다.</x:v>
      </x:c>
      <x:c r="I348" s="12" t="str"/>
      <x:c r="J348" s="12" t="str">
        <x:v>WP01,WP08</x:v>
      </x:c>
      <x:c r="K348" s="12" t="str"/>
      <x:c r="L348" s="12" t="str"/>
    </x:row>
    <x:row r="349">
      <x:c r="A349" s="12" t="str">
        <x:v>CPF-QA-D03-META-018</x:v>
      </x:c>
      <x:c r="B349" s="12" t="str">
        <x:v>META</x:v>
      </x:c>
      <x:c r="C349" s="12" t="str">
        <x:v>WP09</x:v>
      </x:c>
      <x:c r="D349" s="12" t="str">
        <x:v>부분 구현</x:v>
      </x:c>
      <x:c r="E349" s="12" t="str">
        <x:v>P1</x:v>
      </x:c>
      <x:c r="F349" s="12" t="str">
        <x:v>Retention·Deletion Policy Registry</x:v>
      </x:c>
      <x:c r="G349" s="12" t="str">
        <x:v>통합 Registry/Metadata Platform에서 **Retention·Deletion Policy Registry** 기능을 제품 계약·기본 구현·실제 Consumer·운영 기능까지 연결한다. 단순 Interface, 화면 Route, Sample 문자열만으로 완료 처리하지 않는다.</x:v>
      </x:c>
      <x:c r="H349" s="12" t="str">
        <x:v>Owner·namespace·version·effective date·approval·audit·rollback·multi-instance 적용을 정상·오류·경계·부분 실패·재시도/복구·권한·감사·다중 인스턴스 영향까지 자동 Test와 최신 SHA Evidence로 검증한다.</x:v>
      </x:c>
      <x:c r="I349" s="12" t="str"/>
      <x:c r="J349" s="12" t="str">
        <x:v>WP01,WP08</x:v>
      </x:c>
      <x:c r="K349" s="12" t="str"/>
      <x:c r="L349" s="12" t="str"/>
    </x:row>
    <x:row r="350">
      <x:c r="A350" s="12" t="str">
        <x:v>CPF-QA-D03-META-019</x:v>
      </x:c>
      <x:c r="B350" s="12" t="str">
        <x:v>META</x:v>
      </x:c>
      <x:c r="C350" s="12" t="str">
        <x:v>WP09</x:v>
      </x:c>
      <x:c r="D350" s="12" t="str">
        <x:v>부분 구현</x:v>
      </x:c>
      <x:c r="E350" s="12" t="str">
        <x:v>P1</x:v>
      </x:c>
      <x:c r="F350" s="12" t="str">
        <x:v>Provider·Adapter Configuration Registry</x:v>
      </x:c>
      <x:c r="G350" s="12" t="str">
        <x:v>통합 Registry/Metadata Platform에서 **Provider·Adapter Configuration Registry** 기능을 제품 계약·기본 구현·실제 Consumer·운영 기능까지 연결한다. 단순 Interface, 화면 Route, Sample 문자열만으로 완료 처리하지 않는다.</x:v>
      </x:c>
      <x:c r="H350" s="12" t="str">
        <x:v>Owner·namespace·version·effective date·approval·audit·rollback·multi-instance 적용을 정상·오류·경계·부분 실패·재시도/복구·권한·감사·다중 인스턴스 영향까지 자동 Test와 최신 SHA Evidence로 검증한다.</x:v>
      </x:c>
      <x:c r="I350" s="12" t="str"/>
      <x:c r="J350" s="12" t="str">
        <x:v>WP01,WP08</x:v>
      </x:c>
      <x:c r="K350" s="12" t="str"/>
      <x:c r="L350" s="12" t="str"/>
    </x:row>
    <x:row r="351">
      <x:c r="A351" s="12" t="str">
        <x:v>CPF-QA-D03-META-020</x:v>
      </x:c>
      <x:c r="B351" s="12" t="str">
        <x:v>META</x:v>
      </x:c>
      <x:c r="C351" s="12" t="str">
        <x:v>WP09</x:v>
      </x:c>
      <x:c r="D351" s="12" t="str">
        <x:v>부분 구현</x:v>
      </x:c>
      <x:c r="E351" s="12" t="str">
        <x:v>P1</x:v>
      </x:c>
      <x:c r="F351" s="12" t="str">
        <x:v>Domain/System/Group/Item Namespace</x:v>
      </x:c>
      <x:c r="G351" s="12" t="str">
        <x:v>통합 Registry/Metadata Platform에서 **Domain/System/Group/Item Namespace** 기능을 제품 계약·기본 구현·실제 Consumer·운영 기능까지 연결한다. 단순 Interface, 화면 Route, Sample 문자열만으로 완료 처리하지 않는다.</x:v>
      </x:c>
      <x:c r="H351" s="12" t="str">
        <x:v>Owner·namespace·version·effective date·approval·audit·rollback·multi-instance 적용을 정상·오류·경계·부분 실패·재시도/복구·권한·감사·다중 인스턴스 영향까지 자동 Test와 최신 SHA Evidence로 검증한다.</x:v>
      </x:c>
      <x:c r="I351" s="12" t="str"/>
      <x:c r="J351" s="12" t="str">
        <x:v>WP01,WP08</x:v>
      </x:c>
      <x:c r="K351" s="12" t="str"/>
      <x:c r="L351" s="12" t="str"/>
    </x:row>
    <x:row r="352">
      <x:c r="A352" s="12" t="str">
        <x:v>CPF-QA-D03-META-021</x:v>
      </x:c>
      <x:c r="B352" s="12" t="str">
        <x:v>META</x:v>
      </x:c>
      <x:c r="C352" s="12" t="str">
        <x:v>WP09</x:v>
      </x:c>
      <x:c r="D352" s="12" t="str">
        <x:v>부분 구현</x:v>
      </x:c>
      <x:c r="E352" s="12" t="str">
        <x:v>P1</x:v>
      </x:c>
      <x:c r="F352" s="12" t="str">
        <x:v>Version·Environment·Tenant Override</x:v>
      </x:c>
      <x:c r="G352" s="12" t="str">
        <x:v>통합 Registry/Metadata Platform에서 **Version·Environment·Tenant Override** 기능을 제품 계약·기본 구현·실제 Consumer·운영 기능까지 연결한다. 단순 Interface, 화면 Route, Sample 문자열만으로 완료 처리하지 않는다.</x:v>
      </x:c>
      <x:c r="H352" s="12" t="str">
        <x:v>Owner·namespace·version·effective date·approval·audit·rollback·multi-instance 적용을 정상·오류·경계·부분 실패·재시도/복구·권한·감사·다중 인스턴스 영향까지 자동 Test와 최신 SHA Evidence로 검증한다.</x:v>
      </x:c>
      <x:c r="I352" s="12" t="str"/>
      <x:c r="J352" s="12" t="str">
        <x:v>WP01,WP08</x:v>
      </x:c>
      <x:c r="K352" s="12" t="str"/>
      <x:c r="L352" s="12" t="str"/>
    </x:row>
    <x:row r="353">
      <x:c r="A353" s="12" t="str">
        <x:v>CPF-QA-D03-META-022</x:v>
      </x:c>
      <x:c r="B353" s="12" t="str">
        <x:v>META</x:v>
      </x:c>
      <x:c r="C353" s="12" t="str">
        <x:v>WP09</x:v>
      </x:c>
      <x:c r="D353" s="12" t="str">
        <x:v>부분 구현</x:v>
      </x:c>
      <x:c r="E353" s="12" t="str">
        <x:v>P1</x:v>
      </x:c>
      <x:c r="F353" s="12" t="str">
        <x:v>Effective Period</x:v>
      </x:c>
      <x:c r="G353" s="12" t="str">
        <x:v>통합 Registry/Metadata Platform에서 **Effective Period** 기능을 제품 계약·기본 구현·실제 Consumer·운영 기능까지 연결한다. 단순 Interface, 화면 Route, Sample 문자열만으로 완료 처리하지 않는다.</x:v>
      </x:c>
      <x:c r="H353" s="12" t="str">
        <x:v>Owner·namespace·version·effective date·approval·audit·rollback·multi-instance 적용을 정상·오류·경계·부분 실패·재시도/복구·권한·감사·다중 인스턴스 영향까지 자동 Test와 최신 SHA Evidence로 검증한다.</x:v>
      </x:c>
      <x:c r="I353" s="12" t="str"/>
      <x:c r="J353" s="12" t="str">
        <x:v>WP01,WP08</x:v>
      </x:c>
      <x:c r="K353" s="12" t="str"/>
      <x:c r="L353" s="12" t="str"/>
    </x:row>
    <x:row r="354">
      <x:c r="A354" s="12" t="str">
        <x:v>CPF-QA-D03-META-023</x:v>
      </x:c>
      <x:c r="B354" s="12" t="str">
        <x:v>META</x:v>
      </x:c>
      <x:c r="C354" s="12" t="str">
        <x:v>WP09</x:v>
      </x:c>
      <x:c r="D354" s="12" t="str">
        <x:v>부분 구현</x:v>
      </x:c>
      <x:c r="E354" s="12" t="str">
        <x:v>P1</x:v>
      </x:c>
      <x:c r="F354" s="12" t="str">
        <x:v>Approval·Audit·Rollback</x:v>
      </x:c>
      <x:c r="G354" s="12" t="str">
        <x:v>통합 Registry/Metadata Platform에서 **Approval·Audit·Rollback** 기능을 제품 계약·기본 구현·실제 Consumer·운영 기능까지 연결한다. 단순 Interface, 화면 Route, Sample 문자열만으로 완료 처리하지 않는다.</x:v>
      </x:c>
      <x:c r="H354" s="12" t="str">
        <x:v>Owner·namespace·version·effective date·approval·audit·rollback·multi-instance 적용을 정상·오류·경계·부분 실패·재시도/복구·권한·감사·다중 인스턴스 영향까지 자동 Test와 최신 SHA Evidence로 검증한다.</x:v>
      </x:c>
      <x:c r="I354" s="12" t="str"/>
      <x:c r="J354" s="12" t="str">
        <x:v>WP01,WP08</x:v>
      </x:c>
      <x:c r="K354" s="12" t="str"/>
      <x:c r="L354" s="12" t="str"/>
    </x:row>
    <x:row r="355">
      <x:c r="A355" s="12" t="str">
        <x:v>CPF-QA-D03-META-024</x:v>
      </x:c>
      <x:c r="B355" s="12" t="str">
        <x:v>META</x:v>
      </x:c>
      <x:c r="C355" s="12" t="str">
        <x:v>WP09</x:v>
      </x:c>
      <x:c r="D355" s="12" t="str">
        <x:v>부분 구현</x:v>
      </x:c>
      <x:c r="E355" s="12" t="str">
        <x:v>P1</x:v>
      </x:c>
      <x:c r="F355" s="12" t="str">
        <x:v>Cache·Multi-instance Propagation</x:v>
      </x:c>
      <x:c r="G355" s="12" t="str">
        <x:v>통합 Registry/Metadata Platform에서 **Cache·Multi-instance Propagation** 기능을 제품 계약·기본 구현·실제 Consumer·운영 기능까지 연결한다. 단순 Interface, 화면 Route, Sample 문자열만으로 완료 처리하지 않는다.</x:v>
      </x:c>
      <x:c r="H355" s="12" t="str">
        <x:v>Owner·namespace·version·effective date·approval·audit·rollback·multi-instance 적용을 정상·오류·경계·부분 실패·재시도/복구·권한·감사·다중 인스턴스 영향까지 자동 Test와 최신 SHA Evidence로 검증한다.</x:v>
      </x:c>
      <x:c r="I355" s="12" t="str"/>
      <x:c r="J355" s="12" t="str">
        <x:v>WP01,WP08</x:v>
      </x:c>
      <x:c r="K355" s="12" t="str"/>
      <x:c r="L355" s="12" t="str"/>
    </x:row>
    <x:row r="356">
      <x:c r="A356" s="12" t="str">
        <x:v>CPF-QA-D03-META-025</x:v>
      </x:c>
      <x:c r="B356" s="12" t="str">
        <x:v>META</x:v>
      </x:c>
      <x:c r="C356" s="12" t="str">
        <x:v>WP09</x:v>
      </x:c>
      <x:c r="D356" s="12" t="str">
        <x:v>부분 구현</x:v>
      </x:c>
      <x:c r="E356" s="12" t="str">
        <x:v>P1</x:v>
      </x:c>
      <x:c r="F356" s="12" t="str">
        <x:v>Secret Reference 분리</x:v>
      </x:c>
      <x:c r="G356" s="12" t="str">
        <x:v>통합 Registry/Metadata Platform에서 **Secret Reference 분리** 기능을 제품 계약·기본 구현·실제 Consumer·운영 기능까지 연결한다. 단순 Interface, 화면 Route, Sample 문자열만으로 완료 처리하지 않는다.</x:v>
      </x:c>
      <x:c r="H356" s="12" t="str">
        <x:v>Owner·namespace·version·effective date·approval·audit·rollback·multi-instance 적용을 정상·오류·경계·부분 실패·재시도/복구·권한·감사·다중 인스턴스 영향까지 자동 Test와 최신 SHA Evidence로 검증한다.</x:v>
      </x:c>
      <x:c r="I356" s="12" t="str"/>
      <x:c r="J356" s="12" t="str">
        <x:v>WP01,WP08</x:v>
      </x:c>
      <x:c r="K356" s="12" t="str"/>
      <x:c r="L356" s="12" t="str"/>
    </x:row>
    <x:row r="357">
      <x:c r="A357" s="12" t="str">
        <x:v>CPF-QA-D03-META-026</x:v>
      </x:c>
      <x:c r="B357" s="12" t="str">
        <x:v>META</x:v>
      </x:c>
      <x:c r="C357" s="12" t="str">
        <x:v>WP09</x:v>
      </x:c>
      <x:c r="D357" s="12" t="str">
        <x:v>부분 구현</x:v>
      </x:c>
      <x:c r="E357" s="12" t="str">
        <x:v>P1</x:v>
      </x:c>
      <x:c r="F357" s="12" t="str">
        <x:v>Deployment·Migration 연계</x:v>
      </x:c>
      <x:c r="G357" s="12" t="str">
        <x:v>통합 Registry/Metadata Platform에서 **Deployment·Migration 연계** 기능을 제품 계약·기본 구현·실제 Consumer·운영 기능까지 연결한다. 단순 Interface, 화면 Route, Sample 문자열만으로 완료 처리하지 않는다.</x:v>
      </x:c>
      <x:c r="H357" s="12" t="str">
        <x:v>Owner·namespace·version·effective date·approval·audit·rollback·multi-instance 적용을 정상·오류·경계·부분 실패·재시도/복구·권한·감사·다중 인스턴스 영향까지 자동 Test와 최신 SHA Evidence로 검증한다.</x:v>
      </x:c>
      <x:c r="I357" s="12" t="str"/>
      <x:c r="J357" s="12" t="str">
        <x:v>WP01,WP08</x:v>
      </x:c>
      <x:c r="K357" s="12" t="str"/>
      <x:c r="L357" s="12" t="str"/>
    </x:row>
    <x:row r="358">
      <x:c r="A358" s="12" t="str">
        <x:v>CPF-QA-D03-META-027</x:v>
      </x:c>
      <x:c r="B358" s="12" t="str">
        <x:v>META</x:v>
      </x:c>
      <x:c r="C358" s="12" t="str">
        <x:v>WP09</x:v>
      </x:c>
      <x:c r="D358" s="12" t="str">
        <x:v>부분 구현</x:v>
      </x:c>
      <x:c r="E358" s="12" t="str">
        <x:v>P1</x:v>
      </x:c>
      <x:c r="F358" s="12" t="str">
        <x:v>Generator Template 연계</x:v>
      </x:c>
      <x:c r="G358" s="12" t="str">
        <x:v>통합 Registry/Metadata Platform에서 **Generator Template 연계** 기능을 제품 계약·기본 구현·실제 Consumer·운영 기능까지 연결한다. 단순 Interface, 화면 Route, Sample 문자열만으로 완료 처리하지 않는다.</x:v>
      </x:c>
      <x:c r="H358" s="12" t="str">
        <x:v>Owner·namespace·version·effective date·approval·audit·rollback·multi-instance 적용을 정상·오류·경계·부분 실패·재시도/복구·권한·감사·다중 인스턴스 영향까지 자동 Test와 최신 SHA Evidence로 검증한다.</x:v>
      </x:c>
      <x:c r="I358" s="12" t="str"/>
      <x:c r="J358" s="12" t="str">
        <x:v>WP01,WP08</x:v>
      </x:c>
      <x:c r="K358" s="12" t="str"/>
      <x:c r="L358" s="12" t="str"/>
    </x:row>
    <x:row r="359">
      <x:c r="A359" s="12" t="str">
        <x:v>CPF-QA-D03-META-028</x:v>
      </x:c>
      <x:c r="B359" s="12" t="str">
        <x:v>META</x:v>
      </x:c>
      <x:c r="C359" s="12" t="str">
        <x:v>WP09</x:v>
      </x:c>
      <x:c r="D359" s="12" t="str">
        <x:v>부분 구현</x:v>
      </x:c>
      <x:c r="E359" s="12" t="str">
        <x:v>P1</x:v>
      </x:c>
      <x:c r="F359" s="12" t="str">
        <x:v>Typed Adapter 확장</x:v>
      </x:c>
      <x:c r="G359" s="12" t="str">
        <x:v>통합 Registry/Metadata Platform에서 **Typed Adapter 확장** 기능을 제품 계약·기본 구현·실제 Consumer·운영 기능까지 연결한다. 단순 Interface, 화면 Route, Sample 문자열만으로 완료 처리하지 않는다.</x:v>
      </x:c>
      <x:c r="H359" s="12" t="str">
        <x:v>Owner·namespace·version·effective date·approval·audit·rollback·multi-instance 적용을 정상·오류·경계·부분 실패·재시도/복구·권한·감사·다중 인스턴스 영향까지 자동 Test와 최신 SHA Evidence로 검증한다.</x:v>
      </x:c>
      <x:c r="I359" s="12" t="str"/>
      <x:c r="J359" s="12" t="str">
        <x:v>WP01,WP08</x:v>
      </x:c>
      <x:c r="K359" s="12" t="str"/>
      <x:c r="L359" s="12" t="str"/>
    </x:row>
    <x:row r="360">
      <x:c r="A360" s="12" t="str">
        <x:v>CPF-QA-D03-META-029</x:v>
      </x:c>
      <x:c r="B360" s="12" t="str">
        <x:v>META</x:v>
      </x:c>
      <x:c r="C360" s="12" t="str">
        <x:v>WP09</x:v>
      </x:c>
      <x:c r="D360" s="12" t="str">
        <x:v>부분 구현</x:v>
      </x:c>
      <x:c r="E360" s="12" t="str">
        <x:v>P1</x:v>
      </x:c>
      <x:c r="F360" s="12" t="str">
        <x:v>Drift·Conflict Detection</x:v>
      </x:c>
      <x:c r="G360" s="12" t="str">
        <x:v>통합 Registry/Metadata Platform에서 **Drift·Conflict Detection** 기능을 제품 계약·기본 구현·실제 Consumer·운영 기능까지 연결한다. 단순 Interface, 화면 Route, Sample 문자열만으로 완료 처리하지 않는다.</x:v>
      </x:c>
      <x:c r="H360" s="12" t="str">
        <x:v>Owner·namespace·version·effective date·approval·audit·rollback·multi-instance 적용을 정상·오류·경계·부분 실패·재시도/복구·권한·감사·다중 인스턴스 영향까지 자동 Test와 최신 SHA Evidence로 검증한다.</x:v>
      </x:c>
      <x:c r="I360" s="12" t="str"/>
      <x:c r="J360" s="12" t="str">
        <x:v>WP01,WP08</x:v>
      </x:c>
      <x:c r="K360" s="12" t="str"/>
      <x:c r="L360" s="12" t="str"/>
    </x:row>
    <x:row r="361">
      <x:c r="A361" s="12" t="str">
        <x:v>CPF-QA-D03-ALR-004</x:v>
      </x:c>
      <x:c r="B361" s="12" t="str">
        <x:v>ALR</x:v>
      </x:c>
      <x:c r="C361" s="12" t="str">
        <x:v>WP10</x:v>
      </x:c>
      <x:c r="D361" s="12" t="str">
        <x:v>부분 구현</x:v>
      </x:c>
      <x:c r="E361" s="12" t="str">
        <x:v>P0</x:v>
      </x:c>
      <x:c r="F361" s="12" t="str">
        <x:v>표준 Alert Event 계약</x:v>
      </x:c>
      <x:c r="G361" s="12" t="str">
        <x:v>ADM 관제·알림 기능으로 **표준 Alert Event 계약** 기능을 제품 계약·기본 구현·실제 Consumer·운영 기능까지 연결한다. 단순 Interface, 화면 Route, Sample 문자열만으로 완료 처리하지 않는다.</x:v>
      </x:c>
      <x:c r="H361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61" s="12" t="str"/>
      <x:c r="J361" s="12" t="str">
        <x:v>WP08,WP09</x:v>
      </x:c>
      <x:c r="K361" s="12" t="str"/>
      <x:c r="L361" s="12" t="str">
        <x:v>MariaDB+Embedded SMTP/Simulator</x:v>
      </x:c>
    </x:row>
    <x:row r="362">
      <x:c r="A362" s="12" t="str">
        <x:v>CPF-QA-D03-ALR-005</x:v>
      </x:c>
      <x:c r="B362" s="12" t="str">
        <x:v>ALR</x:v>
      </x:c>
      <x:c r="C362" s="12" t="str">
        <x:v>WP10</x:v>
      </x:c>
      <x:c r="D362" s="12" t="str">
        <x:v>부분 구현</x:v>
      </x:c>
      <x:c r="E362" s="12" t="str">
        <x:v>P0</x:v>
      </x:c>
      <x:c r="F362" s="12" t="str">
        <x:v>Alert Event 민감정보 마스킹</x:v>
      </x:c>
      <x:c r="G362" s="12" t="str">
        <x:v>ADM 관제·알림 기능으로 **Alert Event 민감정보 마스킹** 기능을 제품 계약·기본 구현·실제 Consumer·운영 기능까지 연결한다. 단순 Interface, 화면 Route, Sample 문자열만으로 완료 처리하지 않는다.</x:v>
      </x:c>
      <x:c r="H362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62" s="12" t="str"/>
      <x:c r="J362" s="12" t="str">
        <x:v>WP08,WP09</x:v>
      </x:c>
      <x:c r="K362" s="12" t="str"/>
      <x:c r="L362" s="12" t="str">
        <x:v>MariaDB+Embedded SMTP/Simulator</x:v>
      </x:c>
    </x:row>
    <x:row r="363">
      <x:c r="A363" s="12" t="str">
        <x:v>CPF-QA-D03-ALR-006</x:v>
      </x:c>
      <x:c r="B363" s="12" t="str">
        <x:v>ALR</x:v>
      </x:c>
      <x:c r="C363" s="12" t="str">
        <x:v>WP10</x:v>
      </x:c>
      <x:c r="D363" s="12" t="str">
        <x:v>부분 구현</x:v>
      </x:c>
      <x:c r="E363" s="12" t="str">
        <x:v>P0</x:v>
      </x:c>
      <x:c r="F363" s="12" t="str">
        <x:v>Notification Outbox</x:v>
      </x:c>
      <x:c r="G363" s="12" t="str">
        <x:v>ADM 관제·알림 기능으로 **Notification Outbox** 기능을 제품 계약·기본 구현·실제 Consumer·운영 기능까지 연결한다. 단순 Interface, 화면 Route, Sample 문자열만으로 완료 처리하지 않는다.</x:v>
      </x:c>
      <x:c r="H363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63" s="12" t="str"/>
      <x:c r="J363" s="12" t="str">
        <x:v>WP08,WP09</x:v>
      </x:c>
      <x:c r="K363" s="12" t="str"/>
      <x:c r="L363" s="12" t="str">
        <x:v>MariaDB+Embedded SMTP/Simulator</x:v>
      </x:c>
    </x:row>
    <x:row r="364">
      <x:c r="A364" s="12" t="str">
        <x:v>CPF-QA-D03-ALR-007</x:v>
      </x:c>
      <x:c r="B364" s="12" t="str">
        <x:v>ALR</x:v>
      </x:c>
      <x:c r="C364" s="12" t="str">
        <x:v>WP10</x:v>
      </x:c>
      <x:c r="D364" s="12" t="str">
        <x:v>부분 구현</x:v>
      </x:c>
      <x:c r="E364" s="12" t="str">
        <x:v>P0</x:v>
      </x:c>
      <x:c r="F364" s="12" t="str">
        <x:v>Notification Worker</x:v>
      </x:c>
      <x:c r="G364" s="12" t="str">
        <x:v>ADM 관제·알림 기능으로 **Notification Worker** 기능을 제품 계약·기본 구현·실제 Consumer·운영 기능까지 연결한다. 단순 Interface, 화면 Route, Sample 문자열만으로 완료 처리하지 않는다.</x:v>
      </x:c>
      <x:c r="H364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64" s="12" t="str"/>
      <x:c r="J364" s="12" t="str">
        <x:v>WP08,WP09</x:v>
      </x:c>
      <x:c r="K364" s="12" t="str"/>
      <x:c r="L364" s="12" t="str">
        <x:v>MariaDB+Embedded SMTP/Simulator</x:v>
      </x:c>
    </x:row>
    <x:row r="365">
      <x:c r="A365" s="12" t="str">
        <x:v>CPF-QA-D03-ALR-008</x:v>
      </x:c>
      <x:c r="B365" s="12" t="str">
        <x:v>ALR</x:v>
      </x:c>
      <x:c r="C365" s="12" t="str">
        <x:v>WP10</x:v>
      </x:c>
      <x:c r="D365" s="12" t="str">
        <x:v>부분 구현</x:v>
      </x:c>
      <x:c r="E365" s="12" t="str">
        <x:v>P0</x:v>
      </x:c>
      <x:c r="F365" s="12" t="str">
        <x:v>Email Provider SPI</x:v>
      </x:c>
      <x:c r="G365" s="12" t="str">
        <x:v>ADM 관제·알림 기능으로 **Email Provider SPI** 기능을 제품 계약·기본 구현·실제 Consumer·운영 기능까지 연결한다. 단순 Interface, 화면 Route, Sample 문자열만으로 완료 처리하지 않는다.</x:v>
      </x:c>
      <x:c r="H365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65" s="12" t="str"/>
      <x:c r="J365" s="12" t="str">
        <x:v>WP08,WP09</x:v>
      </x:c>
      <x:c r="K365" s="12" t="str"/>
      <x:c r="L365" s="12" t="str">
        <x:v>MariaDB+Embedded SMTP/Simulator</x:v>
      </x:c>
    </x:row>
    <x:row r="366">
      <x:c r="A366" s="12" t="str">
        <x:v>CPF-QA-D03-ALR-009</x:v>
      </x:c>
      <x:c r="B366" s="12" t="str">
        <x:v>ALR</x:v>
      </x:c>
      <x:c r="C366" s="12" t="str">
        <x:v>WP10</x:v>
      </x:c>
      <x:c r="D366" s="12" t="str">
        <x:v>부분 구현</x:v>
      </x:c>
      <x:c r="E366" s="12" t="str">
        <x:v>P0</x:v>
      </x:c>
      <x:c r="F366" s="12" t="str">
        <x:v>Embedded SMTP 통합 Test</x:v>
      </x:c>
      <x:c r="G366" s="12" t="str">
        <x:v>ADM 관제·알림 기능으로 **Embedded SMTP 통합 Test** 기능을 제품 계약·기본 구현·실제 Consumer·운영 기능까지 연결한다. 단순 Interface, 화면 Route, Sample 문자열만으로 완료 처리하지 않는다.</x:v>
      </x:c>
      <x:c r="H366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66" s="12" t="str"/>
      <x:c r="J366" s="12" t="str">
        <x:v>WP08,WP09</x:v>
      </x:c>
      <x:c r="K366" s="12" t="str"/>
      <x:c r="L366" s="12" t="str">
        <x:v>MariaDB+Embedded SMTP/Simulator</x:v>
      </x:c>
    </x:row>
    <x:row r="367">
      <x:c r="A367" s="12" t="str">
        <x:v>CPF-QA-D03-ALR-010</x:v>
      </x:c>
      <x:c r="B367" s="12" t="str">
        <x:v>ALR</x:v>
      </x:c>
      <x:c r="C367" s="12" t="str">
        <x:v>WP10</x:v>
      </x:c>
      <x:c r="D367" s="12" t="str">
        <x:v>부분 구현</x:v>
      </x:c>
      <x:c r="E367" s="12" t="str">
        <x:v>P0</x:v>
      </x:c>
      <x:c r="F367" s="12" t="str">
        <x:v>Local Mail Capture mode</x:v>
      </x:c>
      <x:c r="G367" s="12" t="str">
        <x:v>ADM 관제·알림 기능으로 **Local Mail Capture mode** 기능을 제품 계약·기본 구현·실제 Consumer·운영 기능까지 연결한다. 단순 Interface, 화면 Route, Sample 문자열만으로 완료 처리하지 않는다.</x:v>
      </x:c>
      <x:c r="H367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67" s="12" t="str"/>
      <x:c r="J367" s="12" t="str">
        <x:v>WP08,WP09</x:v>
      </x:c>
      <x:c r="K367" s="12" t="str"/>
      <x:c r="L367" s="12" t="str">
        <x:v>MariaDB+Embedded SMTP/Simulator</x:v>
      </x:c>
    </x:row>
    <x:row r="368">
      <x:c r="A368" s="12" t="str">
        <x:v>CPF-QA-D03-ALR-011</x:v>
      </x:c>
      <x:c r="B368" s="12" t="str">
        <x:v>ALR</x:v>
      </x:c>
      <x:c r="C368" s="12" t="str">
        <x:v>WP10</x:v>
      </x:c>
      <x:c r="D368" s="12" t="str">
        <x:v>부분 구현</x:v>
      </x:c>
      <x:c r="E368" s="12" t="str">
        <x:v>P0</x:v>
      </x:c>
      <x:c r="F368" s="12" t="str">
        <x:v>실제 SMTP Profile</x:v>
      </x:c>
      <x:c r="G368" s="12" t="str">
        <x:v>ADM 관제·알림 기능으로 **실제 SMTP Profile** 기능을 제품 계약·기본 구현·실제 Consumer·운영 기능까지 연결한다. 단순 Interface, 화면 Route, Sample 문자열만으로 완료 처리하지 않는다.</x:v>
      </x:c>
      <x:c r="H368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68" s="12" t="str"/>
      <x:c r="J368" s="12" t="str">
        <x:v>WP08,WP09</x:v>
      </x:c>
      <x:c r="K368" s="12" t="str"/>
      <x:c r="L368" s="12" t="str">
        <x:v>MariaDB+Embedded SMTP/Simulator</x:v>
      </x:c>
    </x:row>
    <x:row r="369">
      <x:c r="A369" s="12" t="str">
        <x:v>CPF-QA-D03-ALR-012</x:v>
      </x:c>
      <x:c r="B369" s="12" t="str">
        <x:v>ALR</x:v>
      </x:c>
      <x:c r="C369" s="12" t="str">
        <x:v>WP10</x:v>
      </x:c>
      <x:c r="D369" s="12" t="str">
        <x:v>부분 구현</x:v>
      </x:c>
      <x:c r="E369" s="12" t="str">
        <x:v>P0</x:v>
      </x:c>
      <x:c r="F369" s="12" t="str">
        <x:v>SMS Provider SPI</x:v>
      </x:c>
      <x:c r="G369" s="12" t="str">
        <x:v>ADM 관제·알림 기능으로 **SMS Provider SPI** 기능을 제품 계약·기본 구현·실제 Consumer·운영 기능까지 연결한다. 단순 Interface, 화면 Route, Sample 문자열만으로 완료 처리하지 않는다.</x:v>
      </x:c>
      <x:c r="H369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69" s="12" t="str"/>
      <x:c r="J369" s="12" t="str">
        <x:v>WP08,WP09</x:v>
      </x:c>
      <x:c r="K369" s="12" t="str"/>
      <x:c r="L369" s="12" t="str">
        <x:v>MariaDB+Embedded SMTP/Simulator</x:v>
      </x:c>
    </x:row>
    <x:row r="370">
      <x:c r="A370" s="12" t="str">
        <x:v>CPF-QA-D03-ALR-013</x:v>
      </x:c>
      <x:c r="B370" s="12" t="str">
        <x:v>ALR</x:v>
      </x:c>
      <x:c r="C370" s="12" t="str">
        <x:v>WP10</x:v>
      </x:c>
      <x:c r="D370" s="12" t="str">
        <x:v>부분 구현</x:v>
      </x:c>
      <x:c r="E370" s="12" t="str">
        <x:v>P0</x:v>
      </x:c>
      <x:c r="F370" s="12" t="str">
        <x:v>SMS Simulator</x:v>
      </x:c>
      <x:c r="G370" s="12" t="str">
        <x:v>ADM 관제·알림 기능으로 **SMS Simulator** 기능을 제품 계약·기본 구현·실제 Consumer·운영 기능까지 연결한다. 단순 Interface, 화면 Route, Sample 문자열만으로 완료 처리하지 않는다.</x:v>
      </x:c>
      <x:c r="H370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70" s="12" t="str"/>
      <x:c r="J370" s="12" t="str">
        <x:v>WP08,WP09</x:v>
      </x:c>
      <x:c r="K370" s="12" t="str"/>
      <x:c r="L370" s="12" t="str">
        <x:v>MariaDB+Embedded SMTP/Simulator</x:v>
      </x:c>
    </x:row>
    <x:row r="371">
      <x:c r="A371" s="12" t="str">
        <x:v>CPF-QA-D03-ALR-014</x:v>
      </x:c>
      <x:c r="B371" s="12" t="str">
        <x:v>ALR</x:v>
      </x:c>
      <x:c r="C371" s="12" t="str">
        <x:v>WP10</x:v>
      </x:c>
      <x:c r="D371" s="12" t="str">
        <x:v>부분 구현</x:v>
      </x:c>
      <x:c r="E371" s="12" t="str">
        <x:v>P0</x:v>
      </x:c>
      <x:c r="F371" s="12" t="str">
        <x:v>Webhook Provider</x:v>
      </x:c>
      <x:c r="G371" s="12" t="str">
        <x:v>ADM 관제·알림 기능으로 **Webhook Provider** 기능을 제품 계약·기본 구현·실제 Consumer·운영 기능까지 연결한다. 단순 Interface, 화면 Route, Sample 문자열만으로 완료 처리하지 않는다.</x:v>
      </x:c>
      <x:c r="H371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71" s="12" t="str"/>
      <x:c r="J371" s="12" t="str">
        <x:v>WP08,WP09</x:v>
      </x:c>
      <x:c r="K371" s="12" t="str"/>
      <x:c r="L371" s="12" t="str">
        <x:v>MariaDB+Embedded SMTP/Simulator</x:v>
      </x:c>
    </x:row>
    <x:row r="372">
      <x:c r="A372" s="12" t="str">
        <x:v>CPF-QA-D03-ALR-015</x:v>
      </x:c>
      <x:c r="B372" s="12" t="str">
        <x:v>ALR</x:v>
      </x:c>
      <x:c r="C372" s="12" t="str">
        <x:v>WP10</x:v>
      </x:c>
      <x:c r="D372" s="12" t="str">
        <x:v>부분 구현</x:v>
      </x:c>
      <x:c r="E372" s="12" t="str">
        <x:v>P0</x:v>
      </x:c>
      <x:c r="F372" s="12" t="str">
        <x:v>메신저 Provider 확장</x:v>
      </x:c>
      <x:c r="G372" s="12" t="str">
        <x:v>ADM 관제·알림 기능으로 **메신저 Provider 확장** 기능을 제품 계약·기본 구현·실제 Consumer·운영 기능까지 연결한다. 단순 Interface, 화면 Route, Sample 문자열만으로 완료 처리하지 않는다.</x:v>
      </x:c>
      <x:c r="H372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72" s="12" t="str"/>
      <x:c r="J372" s="12" t="str">
        <x:v>WP08,WP09</x:v>
      </x:c>
      <x:c r="K372" s="12" t="str"/>
      <x:c r="L372" s="12" t="str">
        <x:v>MariaDB+Embedded SMTP/Simulator</x:v>
      </x:c>
    </x:row>
    <x:row r="373">
      <x:c r="A373" s="12" t="str">
        <x:v>CPF-QA-D03-ALR-016</x:v>
      </x:c>
      <x:c r="B373" s="12" t="str">
        <x:v>ALR</x:v>
      </x:c>
      <x:c r="C373" s="12" t="str">
        <x:v>WP10</x:v>
      </x:c>
      <x:c r="D373" s="12" t="str">
        <x:v>부분 구현</x:v>
      </x:c>
      <x:c r="E373" s="12" t="str">
        <x:v>P0</x:v>
      </x:c>
      <x:c r="F373" s="12" t="str">
        <x:v>INFO·WARN·ERROR·CRITICAL 심각도</x:v>
      </x:c>
      <x:c r="G373" s="12" t="str">
        <x:v>ADM 관제·알림 기능으로 **INFO·WARN·ERROR·CRITICAL 심각도** 기능을 제품 계약·기본 구현·실제 Consumer·운영 기능까지 연결한다. 단순 Interface, 화면 Route, Sample 문자열만으로 완료 처리하지 않는다.</x:v>
      </x:c>
      <x:c r="H373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73" s="12" t="str"/>
      <x:c r="J373" s="12" t="str">
        <x:v>WP08,WP09</x:v>
      </x:c>
      <x:c r="K373" s="12" t="str"/>
      <x:c r="L373" s="12" t="str">
        <x:v>MariaDB+Embedded SMTP/Simulator</x:v>
      </x:c>
    </x:row>
    <x:row r="374">
      <x:c r="A374" s="12" t="str">
        <x:v>CPF-QA-D03-ALR-017</x:v>
      </x:c>
      <x:c r="B374" s="12" t="str">
        <x:v>ALR</x:v>
      </x:c>
      <x:c r="C374" s="12" t="str">
        <x:v>WP10</x:v>
      </x:c>
      <x:c r="D374" s="12" t="str">
        <x:v>부분 구현</x:v>
      </x:c>
      <x:c r="E374" s="12" t="str">
        <x:v>P0</x:v>
      </x:c>
      <x:c r="F374" s="12" t="str">
        <x:v>플랫폼·시스템·도메인 관제 범위</x:v>
      </x:c>
      <x:c r="G374" s="12" t="str">
        <x:v>ADM 관제·알림 기능으로 **플랫폼·시스템·도메인 관제 범위** 기능을 제품 계약·기본 구현·실제 Consumer·운영 기능까지 연결한다. 단순 Interface, 화면 Route, Sample 문자열만으로 완료 처리하지 않는다.</x:v>
      </x:c>
      <x:c r="H374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74" s="12" t="str"/>
      <x:c r="J374" s="12" t="str">
        <x:v>WP08,WP09</x:v>
      </x:c>
      <x:c r="K374" s="12" t="str"/>
      <x:c r="L374" s="12" t="str">
        <x:v>MariaDB+Embedded SMTP/Simulator</x:v>
      </x:c>
    </x:row>
    <x:row r="375">
      <x:c r="A375" s="12" t="str">
        <x:v>CPF-QA-D03-ALR-018</x:v>
      </x:c>
      <x:c r="B375" s="12" t="str">
        <x:v>ALR</x:v>
      </x:c>
      <x:c r="C375" s="12" t="str">
        <x:v>WP10</x:v>
      </x:c>
      <x:c r="D375" s="12" t="str">
        <x:v>부분 구현</x:v>
      </x:c>
      <x:c r="E375" s="12" t="str">
        <x:v>P0</x:v>
      </x:c>
      <x:c r="F375" s="12" t="str">
        <x:v>업무그룹 관제 범위</x:v>
      </x:c>
      <x:c r="G375" s="12" t="str">
        <x:v>ADM 관제·알림 기능으로 **업무그룹 관제 범위** 기능을 제품 계약·기본 구현·실제 Consumer·운영 기능까지 연결한다. 단순 Interface, 화면 Route, Sample 문자열만으로 완료 처리하지 않는다.</x:v>
      </x:c>
      <x:c r="H375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75" s="12" t="str"/>
      <x:c r="J375" s="12" t="str">
        <x:v>WP08,WP09</x:v>
      </x:c>
      <x:c r="K375" s="12" t="str"/>
      <x:c r="L375" s="12" t="str">
        <x:v>MariaDB+Embedded SMTP/Simulator</x:v>
      </x:c>
    </x:row>
    <x:row r="376">
      <x:c r="A376" s="12" t="str">
        <x:v>CPF-QA-D03-ALR-019</x:v>
      </x:c>
      <x:c r="B376" s="12" t="str">
        <x:v>ALR</x:v>
      </x:c>
      <x:c r="C376" s="12" t="str">
        <x:v>WP10</x:v>
      </x:c>
      <x:c r="D376" s="12" t="str">
        <x:v>부분 구현</x:v>
      </x:c>
      <x:c r="E376" s="12" t="str">
        <x:v>P0</x:v>
      </x:c>
      <x:c r="F376" s="12" t="str">
        <x:v>서비스·API 관제 범위</x:v>
      </x:c>
      <x:c r="G376" s="12" t="str">
        <x:v>ADM 관제·알림 기능으로 **서비스·API 관제 범위** 기능을 제품 계약·기본 구현·실제 Consumer·운영 기능까지 연결한다. 단순 Interface, 화면 Route, Sample 문자열만으로 완료 처리하지 않는다.</x:v>
      </x:c>
      <x:c r="H376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76" s="12" t="str"/>
      <x:c r="J376" s="12" t="str">
        <x:v>WP08,WP09</x:v>
      </x:c>
      <x:c r="K376" s="12" t="str"/>
      <x:c r="L376" s="12" t="str">
        <x:v>MariaDB+Embedded SMTP/Simulator</x:v>
      </x:c>
    </x:row>
    <x:row r="377">
      <x:c r="A377" s="12" t="str">
        <x:v>CPF-QA-D03-ALR-020</x:v>
      </x:c>
      <x:c r="B377" s="12" t="str">
        <x:v>ALR</x:v>
      </x:c>
      <x:c r="C377" s="12" t="str">
        <x:v>WP10</x:v>
      </x:c>
      <x:c r="D377" s="12" t="str">
        <x:v>부분 구현</x:v>
      </x:c>
      <x:c r="E377" s="12" t="str">
        <x:v>P0</x:v>
      </x:c>
      <x:c r="F377" s="12" t="str">
        <x:v>Batch·Job 관제 범위</x:v>
      </x:c>
      <x:c r="G377" s="12" t="str">
        <x:v>ADM 관제·알림 기능으로 **Batch·Job 관제 범위** 기능을 제품 계약·기본 구현·실제 Consumer·운영 기능까지 연결한다. 단순 Interface, 화면 Route, Sample 문자열만으로 완료 처리하지 않는다.</x:v>
      </x:c>
      <x:c r="H377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77" s="12" t="str"/>
      <x:c r="J377" s="12" t="str">
        <x:v>WP08,WP09</x:v>
      </x:c>
      <x:c r="K377" s="12" t="str"/>
      <x:c r="L377" s="12" t="str">
        <x:v>MariaDB+Embedded SMTP/Simulator</x:v>
      </x:c>
    </x:row>
    <x:row r="378">
      <x:c r="A378" s="12" t="str">
        <x:v>CPF-QA-D03-ALR-021</x:v>
      </x:c>
      <x:c r="B378" s="12" t="str">
        <x:v>ALR</x:v>
      </x:c>
      <x:c r="C378" s="12" t="str">
        <x:v>WP10</x:v>
      </x:c>
      <x:c r="D378" s="12" t="str">
        <x:v>부분 구현</x:v>
      </x:c>
      <x:c r="E378" s="12" t="str">
        <x:v>P0</x:v>
      </x:c>
      <x:c r="F378" s="12" t="str">
        <x:v>연계기관·Endpoint 관제 범위</x:v>
      </x:c>
      <x:c r="G378" s="12" t="str">
        <x:v>ADM 관제·알림 기능으로 **연계기관·Endpoint 관제 범위** 기능을 제품 계약·기본 구현·실제 Consumer·운영 기능까지 연결한다. 단순 Interface, 화면 Route, Sample 문자열만으로 완료 처리하지 않는다.</x:v>
      </x:c>
      <x:c r="H378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78" s="12" t="str"/>
      <x:c r="J378" s="12" t="str">
        <x:v>WP08,WP09</x:v>
      </x:c>
      <x:c r="K378" s="12" t="str"/>
      <x:c r="L378" s="12" t="str">
        <x:v>MariaDB+Embedded SMTP/Simulator</x:v>
      </x:c>
    </x:row>
    <x:row r="379">
      <x:c r="A379" s="12" t="str">
        <x:v>CPF-QA-D03-ALR-022</x:v>
      </x:c>
      <x:c r="B379" s="12" t="str">
        <x:v>ALR</x:v>
      </x:c>
      <x:c r="C379" s="12" t="str">
        <x:v>WP10</x:v>
      </x:c>
      <x:c r="D379" s="12" t="str">
        <x:v>부분 구현</x:v>
      </x:c>
      <x:c r="E379" s="12" t="str">
        <x:v>P0</x:v>
      </x:c>
      <x:c r="F379" s="12" t="str">
        <x:v>오류코드·오류그룹 관리</x:v>
      </x:c>
      <x:c r="G379" s="12" t="str">
        <x:v>ADM 관제·알림 기능으로 **오류코드·오류그룹 관리** 기능을 제품 계약·기본 구현·실제 Consumer·운영 기능까지 연결한다. 단순 Interface, 화면 Route, Sample 문자열만으로 완료 처리하지 않는다.</x:v>
      </x:c>
      <x:c r="H379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79" s="12" t="str"/>
      <x:c r="J379" s="12" t="str">
        <x:v>WP08,WP09</x:v>
      </x:c>
      <x:c r="K379" s="12" t="str"/>
      <x:c r="L379" s="12" t="str">
        <x:v>MariaDB+Embedded SMTP/Simulator</x:v>
      </x:c>
    </x:row>
    <x:row r="380">
      <x:c r="A380" s="12" t="str">
        <x:v>CPF-QA-D03-ALR-023</x:v>
      </x:c>
      <x:c r="B380" s="12" t="str">
        <x:v>ALR</x:v>
      </x:c>
      <x:c r="C380" s="12" t="str">
        <x:v>WP10</x:v>
      </x:c>
      <x:c r="D380" s="12" t="str">
        <x:v>부분 구현</x:v>
      </x:c>
      <x:c r="E380" s="12" t="str">
        <x:v>P0</x:v>
      </x:c>
      <x:c r="F380" s="12" t="str">
        <x:v>반복 횟수 Threshold</x:v>
      </x:c>
      <x:c r="G380" s="12" t="str">
        <x:v>ADM 관제·알림 기능으로 **반복 횟수 Threshold** 기능을 제품 계약·기본 구현·실제 Consumer·운영 기능까지 연결한다. 단순 Interface, 화면 Route, Sample 문자열만으로 완료 처리하지 않는다.</x:v>
      </x:c>
      <x:c r="H380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80" s="12" t="str"/>
      <x:c r="J380" s="12" t="str">
        <x:v>WP08,WP09</x:v>
      </x:c>
      <x:c r="K380" s="12" t="str"/>
      <x:c r="L380" s="12" t="str">
        <x:v>MariaDB+Embedded SMTP/Simulator</x:v>
      </x:c>
    </x:row>
    <x:row r="381">
      <x:c r="A381" s="12" t="str">
        <x:v>CPF-QA-D03-ALR-024</x:v>
      </x:c>
      <x:c r="B381" s="12" t="str">
        <x:v>ALR</x:v>
      </x:c>
      <x:c r="C381" s="12" t="str">
        <x:v>WP10</x:v>
      </x:c>
      <x:c r="D381" s="12" t="str">
        <x:v>부분 구현</x:v>
      </x:c>
      <x:c r="E381" s="12" t="str">
        <x:v>P0</x:v>
      </x:c>
      <x:c r="F381" s="12" t="str">
        <x:v>지속시간 Threshold</x:v>
      </x:c>
      <x:c r="G381" s="12" t="str">
        <x:v>ADM 관제·알림 기능으로 **지속시간 Threshold** 기능을 제품 계약·기본 구현·실제 Consumer·운영 기능까지 연결한다. 단순 Interface, 화면 Route, Sample 문자열만으로 완료 처리하지 않는다.</x:v>
      </x:c>
      <x:c r="H381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81" s="12" t="str"/>
      <x:c r="J381" s="12" t="str">
        <x:v>WP08,WP09</x:v>
      </x:c>
      <x:c r="K381" s="12" t="str"/>
      <x:c r="L381" s="12" t="str">
        <x:v>MariaDB+Embedded SMTP/Simulator</x:v>
      </x:c>
    </x:row>
    <x:row r="382">
      <x:c r="A382" s="12" t="str">
        <x:v>CPF-QA-D03-ALR-025</x:v>
      </x:c>
      <x:c r="B382" s="12" t="str">
        <x:v>ALR</x:v>
      </x:c>
      <x:c r="C382" s="12" t="str">
        <x:v>WP10</x:v>
      </x:c>
      <x:c r="D382" s="12" t="str">
        <x:v>부분 구현</x:v>
      </x:c>
      <x:c r="E382" s="12" t="str">
        <x:v>P0</x:v>
      </x:c>
      <x:c r="F382" s="12" t="str">
        <x:v>실패율·처리량 Threshold</x:v>
      </x:c>
      <x:c r="G382" s="12" t="str">
        <x:v>ADM 관제·알림 기능으로 **실패율·처리량 Threshold** 기능을 제품 계약·기본 구현·실제 Consumer·운영 기능까지 연결한다. 단순 Interface, 화면 Route, Sample 문자열만으로 완료 처리하지 않는다.</x:v>
      </x:c>
      <x:c r="H382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82" s="12" t="str"/>
      <x:c r="J382" s="12" t="str">
        <x:v>WP08,WP09</x:v>
      </x:c>
      <x:c r="K382" s="12" t="str"/>
      <x:c r="L382" s="12" t="str">
        <x:v>MariaDB+Embedded SMTP/Simulator</x:v>
      </x:c>
    </x:row>
    <x:row r="383">
      <x:c r="A383" s="12" t="str">
        <x:v>CPF-QA-D03-ALR-026</x:v>
      </x:c>
      <x:c r="B383" s="12" t="str">
        <x:v>ALR</x:v>
      </x:c>
      <x:c r="C383" s="12" t="str">
        <x:v>WP10</x:v>
      </x:c>
      <x:c r="D383" s="12" t="str">
        <x:v>부분 구현</x:v>
      </x:c>
      <x:c r="E383" s="12" t="str">
        <x:v>P0</x:v>
      </x:c>
      <x:c r="F383" s="12" t="str">
        <x:v>업무시간·야간·휴일 정책</x:v>
      </x:c>
      <x:c r="G383" s="12" t="str">
        <x:v>ADM 관제·알림 기능으로 **업무시간·야간·휴일 정책** 기능을 제품 계약·기본 구현·실제 Consumer·운영 기능까지 연결한다. 단순 Interface, 화면 Route, Sample 문자열만으로 완료 처리하지 않는다.</x:v>
      </x:c>
      <x:c r="H383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83" s="12" t="str"/>
      <x:c r="J383" s="12" t="str">
        <x:v>WP08,WP09</x:v>
      </x:c>
      <x:c r="K383" s="12" t="str"/>
      <x:c r="L383" s="12" t="str">
        <x:v>MariaDB+Embedded SMTP/Simulator</x:v>
      </x:c>
    </x:row>
    <x:row r="384">
      <x:c r="A384" s="12" t="str">
        <x:v>CPF-QA-D03-ALR-027</x:v>
      </x:c>
      <x:c r="B384" s="12" t="str">
        <x:v>ALR</x:v>
      </x:c>
      <x:c r="C384" s="12" t="str">
        <x:v>WP10</x:v>
      </x:c>
      <x:c r="D384" s="12" t="str">
        <x:v>부분 구현</x:v>
      </x:c>
      <x:c r="E384" s="12" t="str">
        <x:v>P0</x:v>
      </x:c>
      <x:c r="F384" s="12" t="str">
        <x:v>수신 개인·역할·조직·당직그룹</x:v>
      </x:c>
      <x:c r="G384" s="12" t="str">
        <x:v>ADM 관제·알림 기능으로 **수신 개인·역할·조직·당직그룹** 기능을 제품 계약·기본 구현·실제 Consumer·운영 기능까지 연결한다. 단순 Interface, 화면 Route, Sample 문자열만으로 완료 처리하지 않는다.</x:v>
      </x:c>
      <x:c r="H384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84" s="12" t="str"/>
      <x:c r="J384" s="12" t="str">
        <x:v>WP08,WP09</x:v>
      </x:c>
      <x:c r="K384" s="12" t="str"/>
      <x:c r="L384" s="12" t="str">
        <x:v>MariaDB+Embedded SMTP/Simulator</x:v>
      </x:c>
    </x:row>
    <x:row r="385">
      <x:c r="A385" s="12" t="str">
        <x:v>CPF-QA-D03-ALR-028</x:v>
      </x:c>
      <x:c r="B385" s="12" t="str">
        <x:v>ALR</x:v>
      </x:c>
      <x:c r="C385" s="12" t="str">
        <x:v>WP10</x:v>
      </x:c>
      <x:c r="D385" s="12" t="str">
        <x:v>부분 구현</x:v>
      </x:c>
      <x:c r="E385" s="12" t="str">
        <x:v>P0</x:v>
      </x:c>
      <x:c r="F385" s="12" t="str">
        <x:v>채널 우선순위·Fallback</x:v>
      </x:c>
      <x:c r="G385" s="12" t="str">
        <x:v>ADM 관제·알림 기능으로 **채널 우선순위·Fallback** 기능을 제품 계약·기본 구현·실제 Consumer·운영 기능까지 연결한다. 단순 Interface, 화면 Route, Sample 문자열만으로 완료 처리하지 않는다.</x:v>
      </x:c>
      <x:c r="H385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85" s="12" t="str"/>
      <x:c r="J385" s="12" t="str">
        <x:v>WP08,WP09</x:v>
      </x:c>
      <x:c r="K385" s="12" t="str"/>
      <x:c r="L385" s="12" t="str">
        <x:v>MariaDB+Embedded SMTP/Simulator</x:v>
      </x:c>
    </x:row>
    <x:row r="386">
      <x:c r="A386" s="12" t="str">
        <x:v>CPF-QA-D03-ALR-029</x:v>
      </x:c>
      <x:c r="B386" s="12" t="str">
        <x:v>ALR</x:v>
      </x:c>
      <x:c r="C386" s="12" t="str">
        <x:v>WP10</x:v>
      </x:c>
      <x:c r="D386" s="12" t="str">
        <x:v>부분 구현</x:v>
      </x:c>
      <x:c r="E386" s="12" t="str">
        <x:v>P0</x:v>
      </x:c>
      <x:c r="F386" s="12" t="str">
        <x:v>중복 억제·Cooldown</x:v>
      </x:c>
      <x:c r="G386" s="12" t="str">
        <x:v>ADM 관제·알림 기능으로 **중복 억제·Cooldown** 기능을 제품 계약·기본 구현·실제 Consumer·운영 기능까지 연결한다. 단순 Interface, 화면 Route, Sample 문자열만으로 완료 처리하지 않는다.</x:v>
      </x:c>
      <x:c r="H386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86" s="12" t="str"/>
      <x:c r="J386" s="12" t="str">
        <x:v>WP08,WP09</x:v>
      </x:c>
      <x:c r="K386" s="12" t="str"/>
      <x:c r="L386" s="12" t="str">
        <x:v>MariaDB+Embedded SMTP/Simulator</x:v>
      </x:c>
    </x:row>
    <x:row r="387">
      <x:c r="A387" s="12" t="str">
        <x:v>CPF-QA-D03-ALR-030</x:v>
      </x:c>
      <x:c r="B387" s="12" t="str">
        <x:v>ALR</x:v>
      </x:c>
      <x:c r="C387" s="12" t="str">
        <x:v>WP10</x:v>
      </x:c>
      <x:c r="D387" s="12" t="str">
        <x:v>부분 구현</x:v>
      </x:c>
      <x:c r="E387" s="12" t="str">
        <x:v>P0</x:v>
      </x:c>
      <x:c r="F387" s="12" t="str">
        <x:v>집계 알림</x:v>
      </x:c>
      <x:c r="G387" s="12" t="str">
        <x:v>ADM 관제·알림 기능으로 **집계 알림** 기능을 제품 계약·기본 구현·실제 Consumer·운영 기능까지 연결한다. 단순 Interface, 화면 Route, Sample 문자열만으로 완료 처리하지 않는다.</x:v>
      </x:c>
      <x:c r="H387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87" s="12" t="str"/>
      <x:c r="J387" s="12" t="str">
        <x:v>WP08,WP09</x:v>
      </x:c>
      <x:c r="K387" s="12" t="str"/>
      <x:c r="L387" s="12" t="str">
        <x:v>MariaDB+Embedded SMTP/Simulator</x:v>
      </x:c>
    </x:row>
    <x:row r="388">
      <x:c r="A388" s="12" t="str">
        <x:v>CPF-QA-D03-ALR-031</x:v>
      </x:c>
      <x:c r="B388" s="12" t="str">
        <x:v>ALR</x:v>
      </x:c>
      <x:c r="C388" s="12" t="str">
        <x:v>WP10</x:v>
      </x:c>
      <x:c r="D388" s="12" t="str">
        <x:v>부분 구현</x:v>
      </x:c>
      <x:c r="E388" s="12" t="str">
        <x:v>P0</x:v>
      </x:c>
      <x:c r="F388" s="12" t="str">
        <x:v>무음시간·Maintenance Suppression</x:v>
      </x:c>
      <x:c r="G388" s="12" t="str">
        <x:v>ADM 관제·알림 기능으로 **무음시간·Maintenance Suppression** 기능을 제품 계약·기본 구현·실제 Consumer·운영 기능까지 연결한다. 단순 Interface, 화면 Route, Sample 문자열만으로 완료 처리하지 않는다.</x:v>
      </x:c>
      <x:c r="H388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88" s="12" t="str"/>
      <x:c r="J388" s="12" t="str">
        <x:v>WP08,WP09</x:v>
      </x:c>
      <x:c r="K388" s="12" t="str"/>
      <x:c r="L388" s="12" t="str">
        <x:v>MariaDB+Embedded SMTP/Simulator</x:v>
      </x:c>
    </x:row>
    <x:row r="389">
      <x:c r="A389" s="12" t="str">
        <x:v>CPF-QA-D03-ALR-032</x:v>
      </x:c>
      <x:c r="B389" s="12" t="str">
        <x:v>ALR</x:v>
      </x:c>
      <x:c r="C389" s="12" t="str">
        <x:v>WP10</x:v>
      </x:c>
      <x:c r="D389" s="12" t="str">
        <x:v>부분 구현</x:v>
      </x:c>
      <x:c r="E389" s="12" t="str">
        <x:v>P0</x:v>
      </x:c>
      <x:c r="F389" s="12" t="str">
        <x:v>시간당 발송 제한</x:v>
      </x:c>
      <x:c r="G389" s="12" t="str">
        <x:v>ADM 관제·알림 기능으로 **시간당 발송 제한** 기능을 제품 계약·기본 구현·실제 Consumer·운영 기능까지 연결한다. 단순 Interface, 화면 Route, Sample 문자열만으로 완료 처리하지 않는다.</x:v>
      </x:c>
      <x:c r="H389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89" s="12" t="str"/>
      <x:c r="J389" s="12" t="str">
        <x:v>WP08,WP09</x:v>
      </x:c>
      <x:c r="K389" s="12" t="str"/>
      <x:c r="L389" s="12" t="str">
        <x:v>MariaDB+Embedded SMTP/Simulator</x:v>
      </x:c>
    </x:row>
    <x:row r="390">
      <x:c r="A390" s="12" t="str">
        <x:v>CPF-QA-D03-ALR-033</x:v>
      </x:c>
      <x:c r="B390" s="12" t="str">
        <x:v>ALR</x:v>
      </x:c>
      <x:c r="C390" s="12" t="str">
        <x:v>WP10</x:v>
      </x:c>
      <x:c r="D390" s="12" t="str">
        <x:v>부분 구현</x:v>
      </x:c>
      <x:c r="E390" s="12" t="str">
        <x:v>P0</x:v>
      </x:c>
      <x:c r="F390" s="12" t="str">
        <x:v>Escalation 단계</x:v>
      </x:c>
      <x:c r="G390" s="12" t="str">
        <x:v>ADM 관제·알림 기능으로 **Escalation 단계** 기능을 제품 계약·기본 구현·실제 Consumer·운영 기능까지 연결한다. 단순 Interface, 화면 Route, Sample 문자열만으로 완료 처리하지 않는다.</x:v>
      </x:c>
      <x:c r="H390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90" s="12" t="str"/>
      <x:c r="J390" s="12" t="str">
        <x:v>WP08,WP09</x:v>
      </x:c>
      <x:c r="K390" s="12" t="str"/>
      <x:c r="L390" s="12" t="str">
        <x:v>MariaDB+Embedded SMTP/Simulator</x:v>
      </x:c>
    </x:row>
    <x:row r="391">
      <x:c r="A391" s="12" t="str">
        <x:v>CPF-QA-D03-ALR-034</x:v>
      </x:c>
      <x:c r="B391" s="12" t="str">
        <x:v>ALR</x:v>
      </x:c>
      <x:c r="C391" s="12" t="str">
        <x:v>WP10</x:v>
      </x:c>
      <x:c r="D391" s="12" t="str">
        <x:v>부분 구현</x:v>
      </x:c>
      <x:c r="E391" s="12" t="str">
        <x:v>P0</x:v>
      </x:c>
      <x:c r="F391" s="12" t="str">
        <x:v>5분 미확인 Escalation</x:v>
      </x:c>
      <x:c r="G391" s="12" t="str">
        <x:v>ADM 관제·알림 기능으로 **5분 미확인 Escalation** 기능을 제품 계약·기본 구현·실제 Consumer·운영 기능까지 연결한다. 단순 Interface, 화면 Route, Sample 문자열만으로 완료 처리하지 않는다.</x:v>
      </x:c>
      <x:c r="H391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91" s="12" t="str"/>
      <x:c r="J391" s="12" t="str">
        <x:v>WP08,WP09</x:v>
      </x:c>
      <x:c r="K391" s="12" t="str"/>
      <x:c r="L391" s="12" t="str">
        <x:v>MariaDB+Embedded SMTP/Simulator</x:v>
      </x:c>
    </x:row>
    <x:row r="392">
      <x:c r="A392" s="12" t="str">
        <x:v>CPF-QA-D03-ALR-035</x:v>
      </x:c>
      <x:c r="B392" s="12" t="str">
        <x:v>ALR</x:v>
      </x:c>
      <x:c r="C392" s="12" t="str">
        <x:v>WP10</x:v>
      </x:c>
      <x:c r="D392" s="12" t="str">
        <x:v>부분 구현</x:v>
      </x:c>
      <x:c r="E392" s="12" t="str">
        <x:v>P0</x:v>
      </x:c>
      <x:c r="F392" s="12" t="str">
        <x:v>Incident 자동 생성</x:v>
      </x:c>
      <x:c r="G392" s="12" t="str">
        <x:v>ADM 관제·알림 기능으로 **Incident 자동 생성** 기능을 제품 계약·기본 구현·실제 Consumer·운영 기능까지 연결한다. 단순 Interface, 화면 Route, Sample 문자열만으로 완료 처리하지 않는다.</x:v>
      </x:c>
      <x:c r="H392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92" s="12" t="str"/>
      <x:c r="J392" s="12" t="str">
        <x:v>WP08,WP09</x:v>
      </x:c>
      <x:c r="K392" s="12" t="str"/>
      <x:c r="L392" s="12" t="str">
        <x:v>MariaDB+Embedded SMTP/Simulator</x:v>
      </x:c>
    </x:row>
    <x:row r="393">
      <x:c r="A393" s="12" t="str">
        <x:v>CPF-QA-D03-ALR-036</x:v>
      </x:c>
      <x:c r="B393" s="12" t="str">
        <x:v>ALR</x:v>
      </x:c>
      <x:c r="C393" s="12" t="str">
        <x:v>WP10</x:v>
      </x:c>
      <x:c r="D393" s="12" t="str">
        <x:v>부분 구현</x:v>
      </x:c>
      <x:c r="E393" s="12" t="str">
        <x:v>P0</x:v>
      </x:c>
      <x:c r="F393" s="12" t="str">
        <x:v>Incident 확인·담당자 지정</x:v>
      </x:c>
      <x:c r="G393" s="12" t="str">
        <x:v>ADM 관제·알림 기능으로 **Incident 확인·담당자 지정** 기능을 제품 계약·기본 구현·실제 Consumer·운영 기능까지 연결한다. 단순 Interface, 화면 Route, Sample 문자열만으로 완료 처리하지 않는다.</x:v>
      </x:c>
      <x:c r="H393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93" s="12" t="str"/>
      <x:c r="J393" s="12" t="str">
        <x:v>WP08,WP09</x:v>
      </x:c>
      <x:c r="K393" s="12" t="str"/>
      <x:c r="L393" s="12" t="str">
        <x:v>MariaDB+Embedded SMTP/Simulator</x:v>
      </x:c>
    </x:row>
    <x:row r="394">
      <x:c r="A394" s="12" t="str">
        <x:v>CPF-QA-D03-ALR-037</x:v>
      </x:c>
      <x:c r="B394" s="12" t="str">
        <x:v>ALR</x:v>
      </x:c>
      <x:c r="C394" s="12" t="str">
        <x:v>WP10</x:v>
      </x:c>
      <x:c r="D394" s="12" t="str">
        <x:v>부분 구현</x:v>
      </x:c>
      <x:c r="E394" s="12" t="str">
        <x:v>P0</x:v>
      </x:c>
      <x:c r="F394" s="12" t="str">
        <x:v>처리중·종료·재발 상태</x:v>
      </x:c>
      <x:c r="G394" s="12" t="str">
        <x:v>ADM 관제·알림 기능으로 **처리중·종료·재발 상태** 기능을 제품 계약·기본 구현·실제 Consumer·운영 기능까지 연결한다. 단순 Interface, 화면 Route, Sample 문자열만으로 완료 처리하지 않는다.</x:v>
      </x:c>
      <x:c r="H394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94" s="12" t="str"/>
      <x:c r="J394" s="12" t="str">
        <x:v>WP08,WP09</x:v>
      </x:c>
      <x:c r="K394" s="12" t="str"/>
      <x:c r="L394" s="12" t="str">
        <x:v>MariaDB+Embedded SMTP/Simulator</x:v>
      </x:c>
    </x:row>
    <x:row r="395">
      <x:c r="A395" s="12" t="str">
        <x:v>CPF-QA-D03-ALR-038</x:v>
      </x:c>
      <x:c r="B395" s="12" t="str">
        <x:v>ALR</x:v>
      </x:c>
      <x:c r="C395" s="12" t="str">
        <x:v>WP10</x:v>
      </x:c>
      <x:c r="D395" s="12" t="str">
        <x:v>부분 구현</x:v>
      </x:c>
      <x:c r="E395" s="12" t="str">
        <x:v>P0</x:v>
      </x:c>
      <x:c r="F395" s="12" t="str">
        <x:v>임시 관제 제외·만료</x:v>
      </x:c>
      <x:c r="G395" s="12" t="str">
        <x:v>ADM 관제·알림 기능으로 **임시 관제 제외·만료** 기능을 제품 계약·기본 구현·실제 Consumer·운영 기능까지 연결한다. 단순 Interface, 화면 Route, Sample 문자열만으로 완료 처리하지 않는다.</x:v>
      </x:c>
      <x:c r="H395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95" s="12" t="str"/>
      <x:c r="J395" s="12" t="str">
        <x:v>WP08,WP09</x:v>
      </x:c>
      <x:c r="K395" s="12" t="str"/>
      <x:c r="L395" s="12" t="str">
        <x:v>MariaDB+Embedded SMTP/Simulator</x:v>
      </x:c>
    </x:row>
    <x:row r="396">
      <x:c r="A396" s="12" t="str">
        <x:v>CPF-QA-D03-ALR-039</x:v>
      </x:c>
      <x:c r="B396" s="12" t="str">
        <x:v>ALR</x:v>
      </x:c>
      <x:c r="C396" s="12" t="str">
        <x:v>WP10</x:v>
      </x:c>
      <x:c r="D396" s="12" t="str">
        <x:v>부분 구현</x:v>
      </x:c>
      <x:c r="E396" s="12" t="str">
        <x:v>P0</x:v>
      </x:c>
      <x:c r="F396" s="12" t="str">
        <x:v>Template Version·다국어</x:v>
      </x:c>
      <x:c r="G396" s="12" t="str">
        <x:v>ADM 관제·알림 기능으로 **Template Version·다국어** 기능을 제품 계약·기본 구현·실제 Consumer·운영 기능까지 연결한다. 단순 Interface, 화면 Route, Sample 문자열만으로 완료 처리하지 않는다.</x:v>
      </x:c>
      <x:c r="H396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96" s="12" t="str"/>
      <x:c r="J396" s="12" t="str">
        <x:v>WP08,WP09</x:v>
      </x:c>
      <x:c r="K396" s="12" t="str"/>
      <x:c r="L396" s="12" t="str">
        <x:v>MariaDB+Embedded SMTP/Simulator</x:v>
      </x:c>
    </x:row>
    <x:row r="397">
      <x:c r="A397" s="12" t="str">
        <x:v>CPF-QA-D03-ALR-040</x:v>
      </x:c>
      <x:c r="B397" s="12" t="str">
        <x:v>ALR</x:v>
      </x:c>
      <x:c r="C397" s="12" t="str">
        <x:v>WP10</x:v>
      </x:c>
      <x:c r="D397" s="12" t="str">
        <x:v>부분 구현</x:v>
      </x:c>
      <x:c r="E397" s="12" t="str">
        <x:v>P0</x:v>
      </x:c>
      <x:c r="F397" s="12" t="str">
        <x:v>발송 Retry·Backoff</x:v>
      </x:c>
      <x:c r="G397" s="12" t="str">
        <x:v>ADM 관제·알림 기능으로 **발송 Retry·Backoff** 기능을 제품 계약·기본 구현·실제 Consumer·운영 기능까지 연결한다. 단순 Interface, 화면 Route, Sample 문자열만으로 완료 처리하지 않는다.</x:v>
      </x:c>
      <x:c r="H397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97" s="12" t="str"/>
      <x:c r="J397" s="12" t="str">
        <x:v>WP08,WP09</x:v>
      </x:c>
      <x:c r="K397" s="12" t="str"/>
      <x:c r="L397" s="12" t="str">
        <x:v>MariaDB+Embedded SMTP/Simulator</x:v>
      </x:c>
    </x:row>
    <x:row r="398">
      <x:c r="A398" s="12" t="str">
        <x:v>CPF-QA-D03-ALR-041</x:v>
      </x:c>
      <x:c r="B398" s="12" t="str">
        <x:v>ALR</x:v>
      </x:c>
      <x:c r="C398" s="12" t="str">
        <x:v>WP10</x:v>
      </x:c>
      <x:c r="D398" s="12" t="str">
        <x:v>부분 구현</x:v>
      </x:c>
      <x:c r="E398" s="12" t="str">
        <x:v>P0</x:v>
      </x:c>
      <x:c r="F398" s="12" t="str">
        <x:v>발송 DLQ·수동 재처리</x:v>
      </x:c>
      <x:c r="G398" s="12" t="str">
        <x:v>ADM 관제·알림 기능으로 **발송 DLQ·수동 재처리** 기능을 제품 계약·기본 구현·실제 Consumer·운영 기능까지 연결한다. 단순 Interface, 화면 Route, Sample 문자열만으로 완료 처리하지 않는다.</x:v>
      </x:c>
      <x:c r="H398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98" s="12" t="str"/>
      <x:c r="J398" s="12" t="str">
        <x:v>WP08,WP09</x:v>
      </x:c>
      <x:c r="K398" s="12" t="str"/>
      <x:c r="L398" s="12" t="str">
        <x:v>MariaDB+Embedded SMTP/Simulator</x:v>
      </x:c>
    </x:row>
    <x:row r="399">
      <x:c r="A399" s="12" t="str">
        <x:v>CPF-QA-D03-ALR-042</x:v>
      </x:c>
      <x:c r="B399" s="12" t="str">
        <x:v>ALR</x:v>
      </x:c>
      <x:c r="C399" s="12" t="str">
        <x:v>WP10</x:v>
      </x:c>
      <x:c r="D399" s="12" t="str">
        <x:v>부분 구현</x:v>
      </x:c>
      <x:c r="E399" s="12" t="str">
        <x:v>P0</x:v>
      </x:c>
      <x:c r="F399" s="12" t="str">
        <x:v>Preview·Test Send</x:v>
      </x:c>
      <x:c r="G399" s="12" t="str">
        <x:v>ADM 관제·알림 기능으로 **Preview·Test Send** 기능을 제품 계약·기본 구현·실제 Consumer·운영 기능까지 연결한다. 단순 Interface, 화면 Route, Sample 문자열만으로 완료 처리하지 않는다.</x:v>
      </x:c>
      <x:c r="H399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399" s="12" t="str"/>
      <x:c r="J399" s="12" t="str">
        <x:v>WP08,WP09</x:v>
      </x:c>
      <x:c r="K399" s="12" t="str"/>
      <x:c r="L399" s="12" t="str">
        <x:v>MariaDB+Embedded SMTP/Simulator</x:v>
      </x:c>
    </x:row>
    <x:row r="400">
      <x:c r="A400" s="12" t="str">
        <x:v>CPF-QA-D03-ALR-043</x:v>
      </x:c>
      <x:c r="B400" s="12" t="str">
        <x:v>ALR</x:v>
      </x:c>
      <x:c r="C400" s="12" t="str">
        <x:v>WP10</x:v>
      </x:c>
      <x:c r="D400" s="12" t="str">
        <x:v>부분 구현</x:v>
      </x:c>
      <x:c r="E400" s="12" t="str">
        <x:v>P0</x:v>
      </x:c>
      <x:c r="F400" s="12" t="str">
        <x:v>설정 변경 승인·감사·Rollback</x:v>
      </x:c>
      <x:c r="G400" s="12" t="str">
        <x:v>ADM 관제·알림 기능으로 **설정 변경 승인·감사·Rollback** 기능을 제품 계약·기본 구현·실제 Consumer·운영 기능까지 연결한다. 단순 Interface, 화면 Route, Sample 문자열만으로 완료 처리하지 않는다.</x:v>
      </x:c>
      <x:c r="H400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400" s="12" t="str"/>
      <x:c r="J400" s="12" t="str">
        <x:v>WP08,WP09</x:v>
      </x:c>
      <x:c r="K400" s="12" t="str"/>
      <x:c r="L400" s="12" t="str">
        <x:v>MariaDB+Embedded SMTP/Simulator</x:v>
      </x:c>
    </x:row>
    <x:row r="401">
      <x:c r="A401" s="12" t="str">
        <x:v>CPF-QA-D03-ALR-044</x:v>
      </x:c>
      <x:c r="B401" s="12" t="str">
        <x:v>ALR</x:v>
      </x:c>
      <x:c r="C401" s="12" t="str">
        <x:v>WP10</x:v>
      </x:c>
      <x:c r="D401" s="12" t="str">
        <x:v>부분 구현</x:v>
      </x:c>
      <x:c r="E401" s="12" t="str">
        <x:v>P0</x:v>
      </x:c>
      <x:c r="F401" s="12" t="str">
        <x:v>Provider 장애가 원 거래 미오염</x:v>
      </x:c>
      <x:c r="G401" s="12" t="str">
        <x:v>ADM 관제·알림 기능으로 **Provider 장애가 원 거래 미오염** 기능을 제품 계약·기본 구현·실제 Consumer·운영 기능까지 연결한다. 단순 Interface, 화면 Route, Sample 문자열만으로 완료 처리하지 않는다.</x:v>
      </x:c>
      <x:c r="H401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401" s="12" t="str"/>
      <x:c r="J401" s="12" t="str">
        <x:v>WP08,WP09</x:v>
      </x:c>
      <x:c r="K401" s="12" t="str"/>
      <x:c r="L401" s="12" t="str">
        <x:v>MariaDB+Embedded SMTP/Simulator</x:v>
      </x:c>
    </x:row>
    <x:row r="402">
      <x:c r="A402" s="12" t="str">
        <x:v>CPF-QA-D03-ALR-045</x:v>
      </x:c>
      <x:c r="B402" s="12" t="str">
        <x:v>ALR</x:v>
      </x:c>
      <x:c r="C402" s="12" t="str">
        <x:v>WP10</x:v>
      </x:c>
      <x:c r="D402" s="12" t="str">
        <x:v>부분 구현</x:v>
      </x:c>
      <x:c r="E402" s="12" t="str">
        <x:v>P0</x:v>
      </x:c>
      <x:c r="F402" s="12" t="str">
        <x:v>Notification DB Vendor portability</x:v>
      </x:c>
      <x:c r="G402" s="12" t="str">
        <x:v>ADM 관제·알림 기능으로 **Notification DB Vendor portability** 기능을 제품 계약·기본 구현·실제 Consumer·운영 기능까지 연결한다. 단순 Interface, 화면 Route, Sample 문자열만으로 완료 처리하지 않는다.</x:v>
      </x:c>
      <x:c r="H402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402" s="12" t="str"/>
      <x:c r="J402" s="12" t="str">
        <x:v>WP08,WP09</x:v>
      </x:c>
      <x:c r="K402" s="12" t="str"/>
      <x:c r="L402" s="12" t="str">
        <x:v>MariaDB+Embedded SMTP/Simulator</x:v>
      </x:c>
    </x:row>
    <x:row r="403">
      <x:c r="A403" s="12" t="str">
        <x:v>CPF-QA-D03-ALR-046</x:v>
      </x:c>
      <x:c r="B403" s="12" t="str">
        <x:v>ALR</x:v>
      </x:c>
      <x:c r="C403" s="12" t="str">
        <x:v>WP10</x:v>
      </x:c>
      <x:c r="D403" s="12" t="str">
        <x:v>부분 구현</x:v>
      </x:c>
      <x:c r="E403" s="12" t="str">
        <x:v>P0</x:v>
      </x:c>
      <x:c r="F403" s="12" t="str">
        <x:v>Receiver 개인정보 보호</x:v>
      </x:c>
      <x:c r="G403" s="12" t="str">
        <x:v>ADM 관제·알림 기능으로 **Receiver 개인정보 보호** 기능을 제품 계약·기본 구현·실제 Consumer·운영 기능까지 연결한다. 단순 Interface, 화면 Route, Sample 문자열만으로 완료 처리하지 않는다.</x:v>
      </x:c>
      <x:c r="H403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403" s="12" t="str"/>
      <x:c r="J403" s="12" t="str">
        <x:v>WP08,WP09</x:v>
      </x:c>
      <x:c r="K403" s="12" t="str"/>
      <x:c r="L403" s="12" t="str">
        <x:v>MariaDB+Embedded SMTP/Simulator</x:v>
      </x:c>
    </x:row>
    <x:row r="404">
      <x:c r="A404" s="12" t="str">
        <x:v>CPF-QA-D03-ALR-047</x:v>
      </x:c>
      <x:c r="B404" s="12" t="str">
        <x:v>ALR</x:v>
      </x:c>
      <x:c r="C404" s="12" t="str">
        <x:v>WP10</x:v>
      </x:c>
      <x:c r="D404" s="12" t="str">
        <x:v>부분 구현</x:v>
      </x:c>
      <x:c r="E404" s="12" t="str">
        <x:v>P0</x:v>
      </x:c>
      <x:c r="F404" s="12" t="str">
        <x:v>발송 결과·Provider Message ID 추적</x:v>
      </x:c>
      <x:c r="G404" s="12" t="str">
        <x:v>ADM 관제·알림 기능으로 **발송 결과·Provider Message ID 추적** 기능을 제품 계약·기본 구현·실제 Consumer·운영 기능까지 연결한다. 단순 Interface, 화면 Route, Sample 문자열만으로 완료 처리하지 않는다.</x:v>
      </x:c>
      <x:c r="H404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404" s="12" t="str"/>
      <x:c r="J404" s="12" t="str">
        <x:v>WP08,WP09</x:v>
      </x:c>
      <x:c r="K404" s="12" t="str"/>
      <x:c r="L404" s="12" t="str">
        <x:v>MariaDB+Embedded SMTP/Simulator</x:v>
      </x:c>
    </x:row>
    <x:row r="405">
      <x:c r="A405" s="12" t="str">
        <x:v>CPF-QA-D03-ALR-048</x:v>
      </x:c>
      <x:c r="B405" s="12" t="str">
        <x:v>ALR</x:v>
      </x:c>
      <x:c r="C405" s="12" t="str">
        <x:v>WP10</x:v>
      </x:c>
      <x:c r="D405" s="12" t="str">
        <x:v>부분 구현</x:v>
      </x:c>
      <x:c r="E405" s="12" t="str">
        <x:v>P0</x:v>
      </x:c>
      <x:c r="F405" s="12" t="str">
        <x:v>SLO·발송 지연 Monitoring</x:v>
      </x:c>
      <x:c r="G405" s="12" t="str">
        <x:v>ADM 관제·알림 기능으로 **SLO·발송 지연 Monitoring** 기능을 제품 계약·기본 구현·실제 Consumer·운영 기능까지 연결한다. 단순 Interface, 화면 Route, Sample 문자열만으로 완료 처리하지 않는다.</x:v>
      </x:c>
      <x:c r="H405" s="12" t="str">
        <x:v>정책 matching, Outbox transaction, Fake/Embedded SMTP/SMS Simulator, fault·storm·escalation Test로 정상·오류·경계·부분 실패·재시도/복구·권한·감사·다중 인스턴스 영향까지 자동 Test와 최신 SHA Evidence로 검증한다.</x:v>
      </x:c>
      <x:c r="I405" s="12" t="str"/>
      <x:c r="J405" s="12" t="str">
        <x:v>WP08,WP09</x:v>
      </x:c>
      <x:c r="K405" s="12" t="str"/>
      <x:c r="L405" s="12" t="str">
        <x:v>MariaDB+Embedded SMTP/Simulator</x:v>
      </x:c>
    </x:row>
    <x:row r="406">
      <x:c r="A406" s="12" t="str">
        <x:v>CPF-QA-D03-INS-002</x:v>
      </x:c>
      <x:c r="B406" s="12" t="str">
        <x:v>INS</x:v>
      </x:c>
      <x:c r="C406" s="12" t="str">
        <x:v>WP11</x:v>
      </x:c>
      <x:c r="D406" s="12" t="str">
        <x:v>부분 구현</x:v>
      </x:c>
      <x:c r="E406" s="12" t="str">
        <x:v>P0</x:v>
      </x:c>
      <x:c r="F406" s="12" t="str">
        <x:v>환경 계층</x:v>
      </x:c>
      <x:c r="G406" s="12" t="str">
        <x:v>ADM Runtime Instance Registry에서 **환경 계층** 기능을 제품 계약·기본 구현·실제 Consumer·운영 기능까지 연결한다. 단순 Interface, 화면 Route, Sample 문자열만으로 완료 처리하지 않는다.</x:v>
      </x:c>
      <x:c r="H406" s="12" t="str">
        <x:v>DB/API/UI/Runtime heartbeat와 2개 이상 Instance로 정상·오류·경계·부분 실패·재시도/복구·권한·감사·다중 인스턴스 영향까지 자동 Test와 최신 SHA Evidence로 검증한다.</x:v>
      </x:c>
      <x:c r="I406" s="12" t="str"/>
      <x:c r="J406" s="12" t="str">
        <x:v>WP01,WP09</x:v>
      </x:c>
      <x:c r="K406" s="12" t="str"/>
      <x:c r="L406" s="12" t="str"/>
    </x:row>
    <x:row r="407">
      <x:c r="A407" s="12" t="str">
        <x:v>CPF-QA-D03-INS-003</x:v>
      </x:c>
      <x:c r="B407" s="12" t="str">
        <x:v>INS</x:v>
      </x:c>
      <x:c r="C407" s="12" t="str">
        <x:v>WP11</x:v>
      </x:c>
      <x:c r="D407" s="12" t="str">
        <x:v>부분 구현</x:v>
      </x:c>
      <x:c r="E407" s="12" t="str">
        <x:v>P0</x:v>
      </x:c>
      <x:c r="F407" s="12" t="str">
        <x:v>플랫폼·클러스터 계층</x:v>
      </x:c>
      <x:c r="G407" s="12" t="str">
        <x:v>ADM Runtime Instance Registry에서 **플랫폼·클러스터 계층** 기능을 제품 계약·기본 구현·실제 Consumer·운영 기능까지 연결한다. 단순 Interface, 화면 Route, Sample 문자열만으로 완료 처리하지 않는다.</x:v>
      </x:c>
      <x:c r="H407" s="12" t="str">
        <x:v>DB/API/UI/Runtime heartbeat와 2개 이상 Instance로 정상·오류·경계·부분 실패·재시도/복구·권한·감사·다중 인스턴스 영향까지 자동 Test와 최신 SHA Evidence로 검증한다.</x:v>
      </x:c>
      <x:c r="I407" s="12" t="str"/>
      <x:c r="J407" s="12" t="str">
        <x:v>WP01,WP09</x:v>
      </x:c>
      <x:c r="K407" s="12" t="str"/>
      <x:c r="L407" s="12" t="str"/>
    </x:row>
    <x:row r="408">
      <x:c r="A408" s="12" t="str">
        <x:v>CPF-QA-D03-INS-004</x:v>
      </x:c>
      <x:c r="B408" s="12" t="str">
        <x:v>INS</x:v>
      </x:c>
      <x:c r="C408" s="12" t="str">
        <x:v>WP11</x:v>
      </x:c>
      <x:c r="D408" s="12" t="str">
        <x:v>부분 구현</x:v>
      </x:c>
      <x:c r="E408" s="12" t="str">
        <x:v>P0</x:v>
      </x:c>
      <x:c r="F408" s="12" t="str">
        <x:v>시스템·도메인 계층</x:v>
      </x:c>
      <x:c r="G408" s="12" t="str">
        <x:v>ADM Runtime Instance Registry에서 **시스템·도메인 계층** 기능을 제품 계약·기본 구현·실제 Consumer·운영 기능까지 연결한다. 단순 Interface, 화면 Route, Sample 문자열만으로 완료 처리하지 않는다.</x:v>
      </x:c>
      <x:c r="H408" s="12" t="str">
        <x:v>DB/API/UI/Runtime heartbeat와 2개 이상 Instance로 정상·오류·경계·부분 실패·재시도/복구·권한·감사·다중 인스턴스 영향까지 자동 Test와 최신 SHA Evidence로 검증한다.</x:v>
      </x:c>
      <x:c r="I408" s="12" t="str"/>
      <x:c r="J408" s="12" t="str">
        <x:v>WP01,WP09</x:v>
      </x:c>
      <x:c r="K408" s="12" t="str"/>
      <x:c r="L408" s="12" t="str"/>
    </x:row>
    <x:row r="409">
      <x:c r="A409" s="12" t="str">
        <x:v>CPF-QA-D03-INS-005</x:v>
      </x:c>
      <x:c r="B409" s="12" t="str">
        <x:v>INS</x:v>
      </x:c>
      <x:c r="C409" s="12" t="str">
        <x:v>WP11</x:v>
      </x:c>
      <x:c r="D409" s="12" t="str">
        <x:v>부분 구현</x:v>
      </x:c>
      <x:c r="E409" s="12" t="str">
        <x:v>P0</x:v>
      </x:c>
      <x:c r="F409" s="12" t="str">
        <x:v>애플리케이션 그룹 계층</x:v>
      </x:c>
      <x:c r="G409" s="12" t="str">
        <x:v>ADM Runtime Instance Registry에서 **애플리케이션 그룹 계층** 기능을 제품 계약·기본 구현·실제 Consumer·운영 기능까지 연결한다. 단순 Interface, 화면 Route, Sample 문자열만으로 완료 처리하지 않는다.</x:v>
      </x:c>
      <x:c r="H409" s="12" t="str">
        <x:v>DB/API/UI/Runtime heartbeat와 2개 이상 Instance로 정상·오류·경계·부분 실패·재시도/복구·권한·감사·다중 인스턴스 영향까지 자동 Test와 최신 SHA Evidence로 검증한다.</x:v>
      </x:c>
      <x:c r="I409" s="12" t="str"/>
      <x:c r="J409" s="12" t="str">
        <x:v>WP01,WP09</x:v>
      </x:c>
      <x:c r="K409" s="12" t="str"/>
      <x:c r="L409" s="12" t="str"/>
    </x:row>
    <x:row r="410">
      <x:c r="A410" s="12" t="str">
        <x:v>CPF-QA-D03-INS-006</x:v>
      </x:c>
      <x:c r="B410" s="12" t="str">
        <x:v>INS</x:v>
      </x:c>
      <x:c r="C410" s="12" t="str">
        <x:v>WP11</x:v>
      </x:c>
      <x:c r="D410" s="12" t="str">
        <x:v>부분 구현</x:v>
      </x:c>
      <x:c r="E410" s="12" t="str">
        <x:v>P0</x:v>
      </x:c>
      <x:c r="F410" s="12" t="str">
        <x:v>인스턴스 역할 Web·Gateway·Batch·Scheduler·Worker·Agent</x:v>
      </x:c>
      <x:c r="G410" s="12" t="str">
        <x:v>ADM Runtime Instance Registry에서 **인스턴스 역할 Web·Gateway·Batch·Scheduler·Worker·Agent** 기능을 제품 계약·기본 구현·실제 Consumer·운영 기능까지 연결한다. 단순 Interface, 화면 Route, Sample 문자열만으로 완료 처리하지 않는다.</x:v>
      </x:c>
      <x:c r="H410" s="12" t="str">
        <x:v>DB/API/UI/Runtime heartbeat와 2개 이상 Instance로 정상·오류·경계·부분 실패·재시도/복구·권한·감사·다중 인스턴스 영향까지 자동 Test와 최신 SHA Evidence로 검증한다.</x:v>
      </x:c>
      <x:c r="I410" s="12" t="str"/>
      <x:c r="J410" s="12" t="str">
        <x:v>WP01,WP09</x:v>
      </x:c>
      <x:c r="K410" s="12" t="str"/>
      <x:c r="L410" s="12" t="str"/>
    </x:row>
    <x:row r="411">
      <x:c r="A411" s="12" t="str">
        <x:v>CPF-QA-D03-INS-007</x:v>
      </x:c>
      <x:c r="B411" s="12" t="str">
        <x:v>INS</x:v>
      </x:c>
      <x:c r="C411" s="12" t="str">
        <x:v>WP11</x:v>
      </x:c>
      <x:c r="D411" s="12" t="str">
        <x:v>부분 구현</x:v>
      </x:c>
      <x:c r="E411" s="12" t="str">
        <x:v>P0</x:v>
      </x:c>
      <x:c r="F411" s="12" t="str">
        <x:v>Instance ID·Host·Port·JVM Metadata</x:v>
      </x:c>
      <x:c r="G411" s="12" t="str">
        <x:v>ADM Runtime Instance Registry에서 **Instance ID·Host·Port·JVM Metadata** 기능을 제품 계약·기본 구현·실제 Consumer·운영 기능까지 연결한다. 단순 Interface, 화면 Route, Sample 문자열만으로 완료 처리하지 않는다.</x:v>
      </x:c>
      <x:c r="H411" s="12" t="str">
        <x:v>DB/API/UI/Runtime heartbeat와 2개 이상 Instance로 정상·오류·경계·부분 실패·재시도/복구·권한·감사·다중 인스턴스 영향까지 자동 Test와 최신 SHA Evidence로 검증한다.</x:v>
      </x:c>
      <x:c r="I411" s="12" t="str"/>
      <x:c r="J411" s="12" t="str">
        <x:v>WP01,WP09</x:v>
      </x:c>
      <x:c r="K411" s="12" t="str"/>
      <x:c r="L411" s="12" t="str"/>
    </x:row>
    <x:row r="412">
      <x:c r="A412" s="12" t="str">
        <x:v>CPF-QA-D03-INS-008</x:v>
      </x:c>
      <x:c r="B412" s="12" t="str">
        <x:v>INS</x:v>
      </x:c>
      <x:c r="C412" s="12" t="str">
        <x:v>WP11</x:v>
      </x:c>
      <x:c r="D412" s="12" t="str">
        <x:v>부분 구현</x:v>
      </x:c>
      <x:c r="E412" s="12" t="str">
        <x:v>P0</x:v>
      </x:c>
      <x:c r="F412" s="12" t="str">
        <x:v>Artifact Version·Commit 표시</x:v>
      </x:c>
      <x:c r="G412" s="12" t="str">
        <x:v>ADM Runtime Instance Registry에서 **Artifact Version·Commit 표시** 기능을 제품 계약·기본 구현·실제 Consumer·운영 기능까지 연결한다. 단순 Interface, 화면 Route, Sample 문자열만으로 완료 처리하지 않는다.</x:v>
      </x:c>
      <x:c r="H412" s="12" t="str">
        <x:v>DB/API/UI/Runtime heartbeat와 2개 이상 Instance로 정상·오류·경계·부분 실패·재시도/복구·권한·감사·다중 인스턴스 영향까지 자동 Test와 최신 SHA Evidence로 검증한다.</x:v>
      </x:c>
      <x:c r="I412" s="12" t="str"/>
      <x:c r="J412" s="12" t="str">
        <x:v>WP01,WP09</x:v>
      </x:c>
      <x:c r="K412" s="12" t="str"/>
      <x:c r="L412" s="12" t="str"/>
    </x:row>
    <x:row r="413">
      <x:c r="A413" s="12" t="str">
        <x:v>CPF-QA-D03-INS-009</x:v>
      </x:c>
      <x:c r="B413" s="12" t="str">
        <x:v>INS</x:v>
      </x:c>
      <x:c r="C413" s="12" t="str">
        <x:v>WP11</x:v>
      </x:c>
      <x:c r="D413" s="12" t="str">
        <x:v>부분 구현</x:v>
      </x:c>
      <x:c r="E413" s="12" t="str">
        <x:v>P0</x:v>
      </x:c>
      <x:c r="F413" s="12" t="str">
        <x:v>시작시각·Heartbeat·Lease 상태</x:v>
      </x:c>
      <x:c r="G413" s="12" t="str">
        <x:v>ADM Runtime Instance Registry에서 **시작시각·Heartbeat·Lease 상태** 기능을 제품 계약·기본 구현·실제 Consumer·운영 기능까지 연결한다. 단순 Interface, 화면 Route, Sample 문자열만으로 완료 처리하지 않는다.</x:v>
      </x:c>
      <x:c r="H413" s="12" t="str">
        <x:v>DB/API/UI/Runtime heartbeat와 2개 이상 Instance로 정상·오류·경계·부분 실패·재시도/복구·권한·감사·다중 인스턴스 영향까지 자동 Test와 최신 SHA Evidence로 검증한다.</x:v>
      </x:c>
      <x:c r="I413" s="12" t="str"/>
      <x:c r="J413" s="12" t="str">
        <x:v>WP01,WP09</x:v>
      </x:c>
      <x:c r="K413" s="12" t="str"/>
      <x:c r="L413" s="12" t="str"/>
    </x:row>
    <x:row r="414">
      <x:c r="A414" s="12" t="str">
        <x:v>CPF-QA-D03-INS-010</x:v>
      </x:c>
      <x:c r="B414" s="12" t="str">
        <x:v>INS</x:v>
      </x:c>
      <x:c r="C414" s="12" t="str">
        <x:v>WP11</x:v>
      </x:c>
      <x:c r="D414" s="12" t="str">
        <x:v>부분 구현</x:v>
      </x:c>
      <x:c r="E414" s="12" t="str">
        <x:v>P0</x:v>
      </x:c>
      <x:c r="F414" s="12" t="str">
        <x:v>Group 정상·경고·장애 집계</x:v>
      </x:c>
      <x:c r="G414" s="12" t="str">
        <x:v>ADM Runtime Instance Registry에서 **Group 정상·경고·장애 집계** 기능을 제품 계약·기본 구현·실제 Consumer·운영 기능까지 연결한다. 단순 Interface, 화면 Route, Sample 문자열만으로 완료 처리하지 않는다.</x:v>
      </x:c>
      <x:c r="H414" s="12" t="str">
        <x:v>DB/API/UI/Runtime heartbeat와 2개 이상 Instance로 정상·오류·경계·부분 실패·재시도/복구·권한·감사·다중 인스턴스 영향까지 자동 Test와 최신 SHA Evidence로 검증한다.</x:v>
      </x:c>
      <x:c r="I414" s="12" t="str"/>
      <x:c r="J414" s="12" t="str">
        <x:v>WP01,WP09</x:v>
      </x:c>
      <x:c r="K414" s="12" t="str"/>
      <x:c r="L414" s="12" t="str"/>
    </x:row>
    <x:row r="415">
      <x:c r="A415" s="12" t="str">
        <x:v>CPF-QA-D03-INS-011</x:v>
      </x:c>
      <x:c r="B415" s="12" t="str">
        <x:v>INS</x:v>
      </x:c>
      <x:c r="C415" s="12" t="str">
        <x:v>WP11</x:v>
      </x:c>
      <x:c r="D415" s="12" t="str">
        <x:v>부분 구현</x:v>
      </x:c>
      <x:c r="E415" s="12" t="str">
        <x:v>P0</x:v>
      </x:c>
      <x:c r="F415" s="12" t="str">
        <x:v>도메인·그룹 검색·Paging</x:v>
      </x:c>
      <x:c r="G415" s="12" t="str">
        <x:v>ADM Runtime Instance Registry에서 **도메인·그룹 검색·Paging** 기능을 제품 계약·기본 구현·실제 Consumer·운영 기능까지 연결한다. 단순 Interface, 화면 Route, Sample 문자열만으로 완료 처리하지 않는다.</x:v>
      </x:c>
      <x:c r="H415" s="12" t="str">
        <x:v>DB/API/UI/Runtime heartbeat와 2개 이상 Instance로 정상·오류·경계·부분 실패·재시도/복구·권한·감사·다중 인스턴스 영향까지 자동 Test와 최신 SHA Evidence로 검증한다.</x:v>
      </x:c>
      <x:c r="I415" s="12" t="str"/>
      <x:c r="J415" s="12" t="str">
        <x:v>WP01,WP09</x:v>
      </x:c>
      <x:c r="K415" s="12" t="str"/>
      <x:c r="L415" s="12" t="str"/>
    </x:row>
    <x:row r="416">
      <x:c r="A416" s="12" t="str">
        <x:v>CPF-QA-D03-INS-012</x:v>
      </x:c>
      <x:c r="B416" s="12" t="str">
        <x:v>INS</x:v>
      </x:c>
      <x:c r="C416" s="12" t="str">
        <x:v>WP11</x:v>
      </x:c>
      <x:c r="D416" s="12" t="str">
        <x:v>부분 구현</x:v>
      </x:c>
      <x:c r="E416" s="12" t="str">
        <x:v>P0</x:v>
      </x:c>
      <x:c r="F416" s="12" t="str">
        <x:v>Group 운영담당·권한</x:v>
      </x:c>
      <x:c r="G416" s="12" t="str">
        <x:v>ADM Runtime Instance Registry에서 **Group 운영담당·권한** 기능을 제품 계약·기본 구현·실제 Consumer·운영 기능까지 연결한다. 단순 Interface, 화면 Route, Sample 문자열만으로 완료 처리하지 않는다.</x:v>
      </x:c>
      <x:c r="H416" s="12" t="str">
        <x:v>DB/API/UI/Runtime heartbeat와 2개 이상 Instance로 정상·오류·경계·부분 실패·재시도/복구·권한·감사·다중 인스턴스 영향까지 자동 Test와 최신 SHA Evidence로 검증한다.</x:v>
      </x:c>
      <x:c r="I416" s="12" t="str"/>
      <x:c r="J416" s="12" t="str">
        <x:v>WP01,WP09</x:v>
      </x:c>
      <x:c r="K416" s="12" t="str"/>
      <x:c r="L416" s="12" t="str"/>
    </x:row>
    <x:row r="417">
      <x:c r="A417" s="12" t="str">
        <x:v>CPF-QA-D03-INS-013</x:v>
      </x:c>
      <x:c r="B417" s="12" t="str">
        <x:v>INS</x:v>
      </x:c>
      <x:c r="C417" s="12" t="str">
        <x:v>WP11</x:v>
      </x:c>
      <x:c r="D417" s="12" t="str">
        <x:v>부분 구현</x:v>
      </x:c>
      <x:c r="E417" s="12" t="str">
        <x:v>P0</x:v>
      </x:c>
      <x:c r="F417" s="12" t="str">
        <x:v>Group Capacity·동시성 정책</x:v>
      </x:c>
      <x:c r="G417" s="12" t="str">
        <x:v>ADM Runtime Instance Registry에서 **Group Capacity·동시성 정책** 기능을 제품 계약·기본 구현·실제 Consumer·운영 기능까지 연결한다. 단순 Interface, 화면 Route, Sample 문자열만으로 완료 처리하지 않는다.</x:v>
      </x:c>
      <x:c r="H417" s="12" t="str">
        <x:v>DB/API/UI/Runtime heartbeat와 2개 이상 Instance로 정상·오류·경계·부분 실패·재시도/복구·권한·감사·다중 인스턴스 영향까지 자동 Test와 최신 SHA Evidence로 검증한다.</x:v>
      </x:c>
      <x:c r="I417" s="12" t="str"/>
      <x:c r="J417" s="12" t="str">
        <x:v>WP01,WP09</x:v>
      </x:c>
      <x:c r="K417" s="12" t="str"/>
      <x:c r="L417" s="12" t="str"/>
    </x:row>
    <x:row r="418">
      <x:c r="A418" s="12" t="str">
        <x:v>CPF-QA-D03-INS-014</x:v>
      </x:c>
      <x:c r="B418" s="12" t="str">
        <x:v>INS</x:v>
      </x:c>
      <x:c r="C418" s="12" t="str">
        <x:v>WP11</x:v>
      </x:c>
      <x:c r="D418" s="12" t="str">
        <x:v>부분 구현</x:v>
      </x:c>
      <x:c r="E418" s="12" t="str">
        <x:v>P0</x:v>
      </x:c>
      <x:c r="F418" s="12" t="str">
        <x:v>Group Drain·격리·복귀</x:v>
      </x:c>
      <x:c r="G418" s="12" t="str">
        <x:v>ADM Runtime Instance Registry에서 **Group Drain·격리·복귀** 기능을 제품 계약·기본 구현·실제 Consumer·운영 기능까지 연결한다. 단순 Interface, 화면 Route, Sample 문자열만으로 완료 처리하지 않는다.</x:v>
      </x:c>
      <x:c r="H418" s="12" t="str">
        <x:v>DB/API/UI/Runtime heartbeat와 2개 이상 Instance로 정상·오류·경계·부분 실패·재시도/복구·권한·감사·다중 인스턴스 영향까지 자동 Test와 최신 SHA Evidence로 검증한다.</x:v>
      </x:c>
      <x:c r="I418" s="12" t="str"/>
      <x:c r="J418" s="12" t="str">
        <x:v>WP01,WP09</x:v>
      </x:c>
      <x:c r="K418" s="12" t="str"/>
      <x:c r="L418" s="12" t="str"/>
    </x:row>
    <x:row r="419">
      <x:c r="A419" s="12" t="str">
        <x:v>CPF-QA-D03-INS-015</x:v>
      </x:c>
      <x:c r="B419" s="12" t="str">
        <x:v>INS</x:v>
      </x:c>
      <x:c r="C419" s="12" t="str">
        <x:v>WP11</x:v>
      </x:c>
      <x:c r="D419" s="12" t="str">
        <x:v>부분 구현</x:v>
      </x:c>
      <x:c r="E419" s="12" t="str">
        <x:v>P0</x:v>
      </x:c>
      <x:c r="F419" s="12" t="str">
        <x:v>개별 Instance 예외 제어</x:v>
      </x:c>
      <x:c r="G419" s="12" t="str">
        <x:v>ADM Runtime Instance Registry에서 **개별 Instance 예외 제어** 기능을 제품 계약·기본 구현·실제 Consumer·운영 기능까지 연결한다. 단순 Interface, 화면 Route, Sample 문자열만으로 완료 처리하지 않는다.</x:v>
      </x:c>
      <x:c r="H419" s="12" t="str">
        <x:v>DB/API/UI/Runtime heartbeat와 2개 이상 Instance로 정상·오류·경계·부분 실패·재시도/복구·권한·감사·다중 인스턴스 영향까지 자동 Test와 최신 SHA Evidence로 검증한다.</x:v>
      </x:c>
      <x:c r="I419" s="12" t="str"/>
      <x:c r="J419" s="12" t="str">
        <x:v>WP01,WP09</x:v>
      </x:c>
      <x:c r="K419" s="12" t="str"/>
      <x:c r="L419" s="12" t="str"/>
    </x:row>
    <x:row r="420">
      <x:c r="A420" s="12" t="str">
        <x:v>CPF-QA-D03-INS-016</x:v>
      </x:c>
      <x:c r="B420" s="12" t="str">
        <x:v>INS</x:v>
      </x:c>
      <x:c r="C420" s="12" t="str">
        <x:v>WP11</x:v>
      </x:c>
      <x:c r="D420" s="12" t="str">
        <x:v>부분 구현</x:v>
      </x:c>
      <x:c r="E420" s="12" t="str">
        <x:v>P0</x:v>
      </x:c>
      <x:c r="F420" s="12" t="str">
        <x:v>Rolling Upgrade·버전 혼재 표시</x:v>
      </x:c>
      <x:c r="G420" s="12" t="str">
        <x:v>ADM Runtime Instance Registry에서 **Rolling Upgrade·버전 혼재 표시** 기능을 제품 계약·기본 구현·실제 Consumer·운영 기능까지 연결한다. 단순 Interface, 화면 Route, Sample 문자열만으로 완료 처리하지 않는다.</x:v>
      </x:c>
      <x:c r="H420" s="12" t="str">
        <x:v>DB/API/UI/Runtime heartbeat와 2개 이상 Instance로 정상·오류·경계·부분 실패·재시도/복구·권한·감사·다중 인스턴스 영향까지 자동 Test와 최신 SHA Evidence로 검증한다.</x:v>
      </x:c>
      <x:c r="I420" s="12" t="str"/>
      <x:c r="J420" s="12" t="str">
        <x:v>WP01,WP09</x:v>
      </x:c>
      <x:c r="K420" s="12" t="str"/>
      <x:c r="L420" s="12" t="str"/>
    </x:row>
    <x:row r="421">
      <x:c r="A421" s="12" t="str">
        <x:v>CPF-QA-D03-INS-017</x:v>
      </x:c>
      <x:c r="B421" s="12" t="str">
        <x:v>INS</x:v>
      </x:c>
      <x:c r="C421" s="12" t="str">
        <x:v>WP11</x:v>
      </x:c>
      <x:c r="D421" s="12" t="str">
        <x:v>부분 구현</x:v>
      </x:c>
      <x:c r="E421" s="12" t="str">
        <x:v>P0</x:v>
      </x:c>
      <x:c r="F421" s="12" t="str">
        <x:v>Tenant·도메인 접근 격리</x:v>
      </x:c>
      <x:c r="G421" s="12" t="str">
        <x:v>ADM Runtime Instance Registry에서 **Tenant·도메인 접근 격리** 기능을 제품 계약·기본 구현·실제 Consumer·운영 기능까지 연결한다. 단순 Interface, 화면 Route, Sample 문자열만으로 완료 처리하지 않는다.</x:v>
      </x:c>
      <x:c r="H421" s="12" t="str">
        <x:v>DB/API/UI/Runtime heartbeat와 2개 이상 Instance로 정상·오류·경계·부분 실패·재시도/복구·권한·감사·다중 인스턴스 영향까지 자동 Test와 최신 SHA Evidence로 검증한다.</x:v>
      </x:c>
      <x:c r="I421" s="12" t="str"/>
      <x:c r="J421" s="12" t="str">
        <x:v>WP01,WP09</x:v>
      </x:c>
      <x:c r="K421" s="12" t="str"/>
      <x:c r="L421" s="12" t="str"/>
    </x:row>
    <x:row r="422">
      <x:c r="A422" s="12" t="str">
        <x:v>CPF-QA-D03-INS-018</x:v>
      </x:c>
      <x:c r="B422" s="12" t="str">
        <x:v>INS</x:v>
      </x:c>
      <x:c r="C422" s="12" t="str">
        <x:v>WP11</x:v>
      </x:c>
      <x:c r="D422" s="12" t="str">
        <x:v>부분 구현</x:v>
      </x:c>
      <x:c r="E422" s="12" t="str">
        <x:v>P0</x:v>
      </x:c>
      <x:c r="F422" s="12" t="str">
        <x:v>Static·Dynamic Membership</x:v>
      </x:c>
      <x:c r="G422" s="12" t="str">
        <x:v>ADM Runtime Instance Registry에서 **Static·Dynamic Membership** 기능을 제품 계약·기본 구현·실제 Consumer·운영 기능까지 연결한다. 단순 Interface, 화면 Route, Sample 문자열만으로 완료 처리하지 않는다.</x:v>
      </x:c>
      <x:c r="H422" s="12" t="str">
        <x:v>DB/API/UI/Runtime heartbeat와 2개 이상 Instance로 정상·오류·경계·부분 실패·재시도/복구·권한·감사·다중 인스턴스 영향까지 자동 Test와 최신 SHA Evidence로 검증한다.</x:v>
      </x:c>
      <x:c r="I422" s="12" t="str"/>
      <x:c r="J422" s="12" t="str">
        <x:v>WP01,WP09</x:v>
      </x:c>
      <x:c r="K422" s="12" t="str"/>
      <x:c r="L422" s="12" t="str"/>
    </x:row>
    <x:row r="423">
      <x:c r="A423" s="12" t="str">
        <x:v>CPF-QA-D03-INS-019</x:v>
      </x:c>
      <x:c r="B423" s="12" t="str">
        <x:v>INS</x:v>
      </x:c>
      <x:c r="C423" s="12" t="str">
        <x:v>WP11</x:v>
      </x:c>
      <x:c r="D423" s="12" t="str">
        <x:v>부분 구현</x:v>
      </x:c>
      <x:c r="E423" s="12" t="str">
        <x:v>P0</x:v>
      </x:c>
      <x:c r="F423" s="12" t="str">
        <x:v>Nested Group Cycle 방지</x:v>
      </x:c>
      <x:c r="G423" s="12" t="str">
        <x:v>ADM Runtime Instance Registry에서 **Nested Group Cycle 방지** 기능을 제품 계약·기본 구현·실제 Consumer·운영 기능까지 연결한다. 단순 Interface, 화면 Route, Sample 문자열만으로 완료 처리하지 않는다.</x:v>
      </x:c>
      <x:c r="H423" s="12" t="str">
        <x:v>DB/API/UI/Runtime heartbeat와 2개 이상 Instance로 정상·오류·경계·부분 실패·재시도/복구·권한·감사·다중 인스턴스 영향까지 자동 Test와 최신 SHA Evidence로 검증한다.</x:v>
      </x:c>
      <x:c r="I423" s="12" t="str"/>
      <x:c r="J423" s="12" t="str">
        <x:v>WP01,WP09</x:v>
      </x:c>
      <x:c r="K423" s="12" t="str"/>
      <x:c r="L423" s="12" t="str"/>
    </x:row>
    <x:row r="424">
      <x:c r="A424" s="12" t="str">
        <x:v>CPF-QA-D03-INS-020</x:v>
      </x:c>
      <x:c r="B424" s="12" t="str">
        <x:v>INS</x:v>
      </x:c>
      <x:c r="C424" s="12" t="str">
        <x:v>WP11</x:v>
      </x:c>
      <x:c r="D424" s="12" t="str">
        <x:v>부분 구현</x:v>
      </x:c>
      <x:c r="E424" s="12" t="str">
        <x:v>P0</x:v>
      </x:c>
      <x:c r="F424" s="12" t="str">
        <x:v>Target Preview·Immutable Snapshot</x:v>
      </x:c>
      <x:c r="G424" s="12" t="str">
        <x:v>ADM Runtime Instance Registry에서 **Target Preview·Immutable Snapshot** 기능을 제품 계약·기본 구현·실제 Consumer·운영 기능까지 연결한다. 단순 Interface, 화면 Route, Sample 문자열만으로 완료 처리하지 않는다.</x:v>
      </x:c>
      <x:c r="H424" s="12" t="str">
        <x:v>DB/API/UI/Runtime heartbeat와 2개 이상 Instance로 정상·오류·경계·부분 실패·재시도/복구·권한·감사·다중 인스턴스 영향까지 자동 Test와 최신 SHA Evidence로 검증한다.</x:v>
      </x:c>
      <x:c r="I424" s="12" t="str"/>
      <x:c r="J424" s="12" t="str">
        <x:v>WP01,WP09</x:v>
      </x:c>
      <x:c r="K424" s="12" t="str"/>
      <x:c r="L424" s="12" t="str"/>
    </x:row>
    <x:row r="425">
      <x:c r="A425" s="12" t="str">
        <x:v>CPF-QA-D03-INS-021</x:v>
      </x:c>
      <x:c r="B425" s="12" t="str">
        <x:v>INS</x:v>
      </x:c>
      <x:c r="C425" s="12" t="str">
        <x:v>WP11</x:v>
      </x:c>
      <x:c r="D425" s="12" t="str">
        <x:v>부분 구현</x:v>
      </x:c>
      <x:c r="E425" s="12" t="str">
        <x:v>P0</x:v>
      </x:c>
      <x:c r="F425" s="12" t="str">
        <x:v>Instance Ghost 등록 정리</x:v>
      </x:c>
      <x:c r="G425" s="12" t="str">
        <x:v>ADM Runtime Instance Registry에서 **Instance Ghost 등록 정리** 기능을 제품 계약·기본 구현·실제 Consumer·운영 기능까지 연결한다. 단순 Interface, 화면 Route, Sample 문자열만으로 완료 처리하지 않는다.</x:v>
      </x:c>
      <x:c r="H425" s="12" t="str">
        <x:v>DB/API/UI/Runtime heartbeat와 2개 이상 Instance로 정상·오류·경계·부분 실패·재시도/복구·권한·감사·다중 인스턴스 영향까지 자동 Test와 최신 SHA Evidence로 검증한다.</x:v>
      </x:c>
      <x:c r="I425" s="12" t="str"/>
      <x:c r="J425" s="12" t="str">
        <x:v>WP01,WP09</x:v>
      </x:c>
      <x:c r="K425" s="12" t="str"/>
      <x:c r="L425" s="12" t="str"/>
    </x:row>
    <x:row r="426">
      <x:c r="A426" s="12" t="str">
        <x:v>CPF-QA-D03-LOG-004</x:v>
      </x:c>
      <x:c r="B426" s="12" t="str">
        <x:v>LOG</x:v>
      </x:c>
      <x:c r="C426" s="12" t="str">
        <x:v>WP11</x:v>
      </x:c>
      <x:c r="D426" s="12" t="str">
        <x:v>부분 구현</x:v>
      </x:c>
      <x:c r="E426" s="12" t="str">
        <x:v>P0</x:v>
      </x:c>
      <x:c r="F426" s="12" t="str">
        <x:v>인스턴스별 로그 파일 목록</x:v>
      </x:c>
      <x:c r="G426" s="12" t="str">
        <x:v>ADM→대상 Agent 또는 Archive Store 흐름으로 **인스턴스별 로그 파일 목록** 기능을 제품 계약·기본 구현·실제 Consumer·운영 기능까지 연결한다. 단순 Interface, 화면 Route, Sample 문자열만으로 완료 처리하지 않는다.</x:v>
      </x:c>
      <x:c r="H426" s="12" t="str">
        <x:v>실제 파일·대용량·권한·공격 fixture·disconnect·multi-instance로 정상·오류·경계·부분 실패·재시도/복구·권한·감사·다중 인스턴스 영향까지 자동 Test와 최신 SHA Evidence로 검증한다.</x:v>
      </x:c>
      <x:c r="I426" s="12" t="str"/>
      <x:c r="J426" s="12" t="str">
        <x:v>WP11-INS</x:v>
      </x:c>
      <x:c r="K426" s="12" t="str"/>
      <x:c r="L426" s="12" t="str"/>
    </x:row>
    <x:row r="427">
      <x:c r="A427" s="12" t="str">
        <x:v>CPF-QA-D03-LOG-005</x:v>
      </x:c>
      <x:c r="B427" s="12" t="str">
        <x:v>LOG</x:v>
      </x:c>
      <x:c r="C427" s="12" t="str">
        <x:v>WP11</x:v>
      </x:c>
      <x:c r="D427" s="12" t="str">
        <x:v>부분 구현</x:v>
      </x:c>
      <x:c r="E427" s="12" t="str">
        <x:v>P0</x:v>
      </x:c>
      <x:c r="F427" s="12" t="str">
        <x:v>도메인·그룹별 로그 조회</x:v>
      </x:c>
      <x:c r="G427" s="12" t="str">
        <x:v>ADM→대상 Agent 또는 Archive Store 흐름으로 **도메인·그룹별 로그 조회** 기능을 제품 계약·기본 구현·실제 Consumer·운영 기능까지 연결한다. 단순 Interface, 화면 Route, Sample 문자열만으로 완료 처리하지 않는다.</x:v>
      </x:c>
      <x:c r="H427" s="12" t="str">
        <x:v>실제 파일·대용량·권한·공격 fixture·disconnect·multi-instance로 정상·오류·경계·부분 실패·재시도/복구·권한·감사·다중 인스턴스 영향까지 자동 Test와 최신 SHA Evidence로 검증한다.</x:v>
      </x:c>
      <x:c r="I427" s="12" t="str"/>
      <x:c r="J427" s="12" t="str">
        <x:v>WP11-INS</x:v>
      </x:c>
      <x:c r="K427" s="12" t="str"/>
      <x:c r="L427" s="12" t="str"/>
    </x:row>
    <x:row r="428">
      <x:c r="A428" s="12" t="str">
        <x:v>CPF-QA-D03-LOG-006</x:v>
      </x:c>
      <x:c r="B428" s="12" t="str">
        <x:v>LOG</x:v>
      </x:c>
      <x:c r="C428" s="12" t="str">
        <x:v>WP11</x:v>
      </x:c>
      <x:c r="D428" s="12" t="str">
        <x:v>부분 구현</x:v>
      </x:c>
      <x:c r="E428" s="12" t="str">
        <x:v>P0</x:v>
      </x:c>
      <x:c r="F428" s="12" t="str">
        <x:v>Application Log 다운로드</x:v>
      </x:c>
      <x:c r="G428" s="12" t="str">
        <x:v>ADM→대상 Agent 또는 Archive Store 흐름으로 **Application Log 다운로드** 기능을 제품 계약·기본 구현·실제 Consumer·운영 기능까지 연결한다. 단순 Interface, 화면 Route, Sample 문자열만으로 완료 처리하지 않는다.</x:v>
      </x:c>
      <x:c r="H428" s="12" t="str">
        <x:v>실제 파일·대용량·권한·공격 fixture·disconnect·multi-instance로 정상·오류·경계·부분 실패·재시도/복구·권한·감사·다중 인스턴스 영향까지 자동 Test와 최신 SHA Evidence로 검증한다.</x:v>
      </x:c>
      <x:c r="I428" s="12" t="str"/>
      <x:c r="J428" s="12" t="str">
        <x:v>WP11-INS</x:v>
      </x:c>
      <x:c r="K428" s="12" t="str"/>
      <x:c r="L428" s="12" t="str"/>
    </x:row>
    <x:row r="429">
      <x:c r="A429" s="12" t="str">
        <x:v>CPF-QA-D03-LOG-007</x:v>
      </x:c>
      <x:c r="B429" s="12" t="str">
        <x:v>LOG</x:v>
      </x:c>
      <x:c r="C429" s="12" t="str">
        <x:v>WP11</x:v>
      </x:c>
      <x:c r="D429" s="12" t="str">
        <x:v>부분 구현</x:v>
      </x:c>
      <x:c r="E429" s="12" t="str">
        <x:v>P0</x:v>
      </x:c>
      <x:c r="F429" s="12" t="str">
        <x:v>Access Log 다운로드</x:v>
      </x:c>
      <x:c r="G429" s="12" t="str">
        <x:v>ADM→대상 Agent 또는 Archive Store 흐름으로 **Access Log 다운로드** 기능을 제품 계약·기본 구현·실제 Consumer·운영 기능까지 연결한다. 단순 Interface, 화면 Route, Sample 문자열만으로 완료 처리하지 않는다.</x:v>
      </x:c>
      <x:c r="H429" s="12" t="str">
        <x:v>실제 파일·대용량·권한·공격 fixture·disconnect·multi-instance로 정상·오류·경계·부분 실패·재시도/복구·권한·감사·다중 인스턴스 영향까지 자동 Test와 최신 SHA Evidence로 검증한다.</x:v>
      </x:c>
      <x:c r="I429" s="12" t="str"/>
      <x:c r="J429" s="12" t="str">
        <x:v>WP11-INS</x:v>
      </x:c>
      <x:c r="K429" s="12" t="str"/>
      <x:c r="L429" s="12" t="str"/>
    </x:row>
    <x:row r="430">
      <x:c r="A430" s="12" t="str">
        <x:v>CPF-QA-D03-LOG-008</x:v>
      </x:c>
      <x:c r="B430" s="12" t="str">
        <x:v>LOG</x:v>
      </x:c>
      <x:c r="C430" s="12" t="str">
        <x:v>WP11</x:v>
      </x:c>
      <x:c r="D430" s="12" t="str">
        <x:v>부분 구현</x:v>
      </x:c>
      <x:c r="E430" s="12" t="str">
        <x:v>P0</x:v>
      </x:c>
      <x:c r="F430" s="12" t="str">
        <x:v>Error Log 다운로드</x:v>
      </x:c>
      <x:c r="G430" s="12" t="str">
        <x:v>ADM→대상 Agent 또는 Archive Store 흐름으로 **Error Log 다운로드** 기능을 제품 계약·기본 구현·실제 Consumer·운영 기능까지 연결한다. 단순 Interface, 화면 Route, Sample 문자열만으로 완료 처리하지 않는다.</x:v>
      </x:c>
      <x:c r="H430" s="12" t="str">
        <x:v>실제 파일·대용량·권한·공격 fixture·disconnect·multi-instance로 정상·오류·경계·부분 실패·재시도/복구·권한·감사·다중 인스턴스 영향까지 자동 Test와 최신 SHA Evidence로 검증한다.</x:v>
      </x:c>
      <x:c r="I430" s="12" t="str"/>
      <x:c r="J430" s="12" t="str">
        <x:v>WP11-INS</x:v>
      </x:c>
      <x:c r="K430" s="12" t="str"/>
      <x:c r="L430" s="12" t="str"/>
    </x:row>
    <x:row r="431">
      <x:c r="A431" s="12" t="str">
        <x:v>CPF-QA-D03-LOG-009</x:v>
      </x:c>
      <x:c r="B431" s="12" t="str">
        <x:v>LOG</x:v>
      </x:c>
      <x:c r="C431" s="12" t="str">
        <x:v>WP11</x:v>
      </x:c>
      <x:c r="D431" s="12" t="str">
        <x:v>부분 구현</x:v>
      </x:c>
      <x:c r="E431" s="12" t="str">
        <x:v>P0</x:v>
      </x:c>
      <x:c r="F431" s="12" t="str">
        <x:v>Audit Log 다운로드</x:v>
      </x:c>
      <x:c r="G431" s="12" t="str">
        <x:v>ADM→대상 Agent 또는 Archive Store 흐름으로 **Audit Log 다운로드** 기능을 제품 계약·기본 구현·실제 Consumer·운영 기능까지 연결한다. 단순 Interface, 화면 Route, Sample 문자열만으로 완료 처리하지 않는다.</x:v>
      </x:c>
      <x:c r="H431" s="12" t="str">
        <x:v>실제 파일·대용량·권한·공격 fixture·disconnect·multi-instance로 정상·오류·경계·부분 실패·재시도/복구·권한·감사·다중 인스턴스 영향까지 자동 Test와 최신 SHA Evidence로 검증한다.</x:v>
      </x:c>
      <x:c r="I431" s="12" t="str"/>
      <x:c r="J431" s="12" t="str">
        <x:v>WP11-INS</x:v>
      </x:c>
      <x:c r="K431" s="12" t="str"/>
      <x:c r="L431" s="12" t="str"/>
    </x:row>
    <x:row r="432">
      <x:c r="A432" s="12" t="str">
        <x:v>CPF-QA-D03-LOG-010</x:v>
      </x:c>
      <x:c r="B432" s="12" t="str">
        <x:v>LOG</x:v>
      </x:c>
      <x:c r="C432" s="12" t="str">
        <x:v>WP11</x:v>
      </x:c>
      <x:c r="D432" s="12" t="str">
        <x:v>부분 구현</x:v>
      </x:c>
      <x:c r="E432" s="12" t="str">
        <x:v>P0</x:v>
      </x:c>
      <x:c r="F432" s="12" t="str">
        <x:v>Batch·Worker Log 다운로드</x:v>
      </x:c>
      <x:c r="G432" s="12" t="str">
        <x:v>ADM→대상 Agent 또는 Archive Store 흐름으로 **Batch·Worker Log 다운로드** 기능을 제품 계약·기본 구현·실제 Consumer·운영 기능까지 연결한다. 단순 Interface, 화면 Route, Sample 문자열만으로 완료 처리하지 않는다.</x:v>
      </x:c>
      <x:c r="H432" s="12" t="str">
        <x:v>실제 파일·대용량·권한·공격 fixture·disconnect·multi-instance로 정상·오류·경계·부분 실패·재시도/복구·권한·감사·다중 인스턴스 영향까지 자동 Test와 최신 SHA Evidence로 검증한다.</x:v>
      </x:c>
      <x:c r="I432" s="12" t="str"/>
      <x:c r="J432" s="12" t="str">
        <x:v>WP11-INS</x:v>
      </x:c>
      <x:c r="K432" s="12" t="str"/>
      <x:c r="L432" s="12" t="str"/>
    </x:row>
    <x:row r="433">
      <x:c r="A433" s="12" t="str">
        <x:v>CPF-QA-D03-LOG-011</x:v>
      </x:c>
      <x:c r="B433" s="12" t="str">
        <x:v>LOG</x:v>
      </x:c>
      <x:c r="C433" s="12" t="str">
        <x:v>WP11</x:v>
      </x:c>
      <x:c r="D433" s="12" t="str">
        <x:v>부분 구현</x:v>
      </x:c>
      <x:c r="E433" s="12" t="str">
        <x:v>P0</x:v>
      </x:c>
      <x:c r="F433" s="12" t="str">
        <x:v>Gateway·연계 Log 다운로드</x:v>
      </x:c>
      <x:c r="G433" s="12" t="str">
        <x:v>ADM→대상 Agent 또는 Archive Store 흐름으로 **Gateway·연계 Log 다운로드** 기능을 제품 계약·기본 구현·실제 Consumer·운영 기능까지 연결한다. 단순 Interface, 화면 Route, Sample 문자열만으로 완료 처리하지 않는다.</x:v>
      </x:c>
      <x:c r="H433" s="12" t="str">
        <x:v>실제 파일·대용량·권한·공격 fixture·disconnect·multi-instance로 정상·오류·경계·부분 실패·재시도/복구·권한·감사·다중 인스턴스 영향까지 자동 Test와 최신 SHA Evidence로 검증한다.</x:v>
      </x:c>
      <x:c r="I433" s="12" t="str"/>
      <x:c r="J433" s="12" t="str">
        <x:v>WP11-INS</x:v>
      </x:c>
      <x:c r="K433" s="12" t="str"/>
      <x:c r="L433" s="12" t="str"/>
    </x:row>
    <x:row r="434">
      <x:c r="A434" s="12" t="str">
        <x:v>CPF-QA-D03-LOG-012</x:v>
      </x:c>
      <x:c r="B434" s="12" t="str">
        <x:v>LOG</x:v>
      </x:c>
      <x:c r="C434" s="12" t="str">
        <x:v>WP11</x:v>
      </x:c>
      <x:c r="D434" s="12" t="str">
        <x:v>부분 구현</x:v>
      </x:c>
      <x:c r="E434" s="12" t="str">
        <x:v>P0</x:v>
      </x:c>
      <x:c r="F434" s="12" t="str">
        <x:v>GC·JVM 진단 Log 다운로드</x:v>
      </x:c>
      <x:c r="G434" s="12" t="str">
        <x:v>ADM→대상 Agent 또는 Archive Store 흐름으로 **GC·JVM 진단 Log 다운로드** 기능을 제품 계약·기본 구현·실제 Consumer·운영 기능까지 연결한다. 단순 Interface, 화면 Route, Sample 문자열만으로 완료 처리하지 않는다.</x:v>
      </x:c>
      <x:c r="H434" s="12" t="str">
        <x:v>실제 파일·대용량·권한·공격 fixture·disconnect·multi-instance로 정상·오류·경계·부분 실패·재시도/복구·권한·감사·다중 인스턴스 영향까지 자동 Test와 최신 SHA Evidence로 검증한다.</x:v>
      </x:c>
      <x:c r="I434" s="12" t="str"/>
      <x:c r="J434" s="12" t="str">
        <x:v>WP11-INS</x:v>
      </x:c>
      <x:c r="K434" s="12" t="str"/>
      <x:c r="L434" s="12" t="str"/>
    </x:row>
    <x:row r="435">
      <x:c r="A435" s="12" t="str">
        <x:v>CPF-QA-D03-LOG-013</x:v>
      </x:c>
      <x:c r="B435" s="12" t="str">
        <x:v>LOG</x:v>
      </x:c>
      <x:c r="C435" s="12" t="str">
        <x:v>WP11</x:v>
      </x:c>
      <x:c r="D435" s="12" t="str">
        <x:v>부분 구현</x:v>
      </x:c>
      <x:c r="E435" s="12" t="str">
        <x:v>P0</x:v>
      </x:c>
      <x:c r="F435" s="12" t="str">
        <x:v>현재·Rotation·Archive 구분</x:v>
      </x:c>
      <x:c r="G435" s="12" t="str">
        <x:v>ADM→대상 Agent 또는 Archive Store 흐름으로 **현재·Rotation·Archive 구분** 기능을 제품 계약·기본 구현·실제 Consumer·운영 기능까지 연결한다. 단순 Interface, 화면 Route, Sample 문자열만으로 완료 처리하지 않는다.</x:v>
      </x:c>
      <x:c r="H435" s="12" t="str">
        <x:v>실제 파일·대용량·권한·공격 fixture·disconnect·multi-instance로 정상·오류·경계·부분 실패·재시도/복구·권한·감사·다중 인스턴스 영향까지 자동 Test와 최신 SHA Evidence로 검증한다.</x:v>
      </x:c>
      <x:c r="I435" s="12" t="str"/>
      <x:c r="J435" s="12" t="str">
        <x:v>WP11-INS</x:v>
      </x:c>
      <x:c r="K435" s="12" t="str"/>
      <x:c r="L435" s="12" t="str"/>
    </x:row>
    <x:row r="436">
      <x:c r="A436" s="12" t="str">
        <x:v>CPF-QA-D03-LOG-014</x:v>
      </x:c>
      <x:c r="B436" s="12" t="str">
        <x:v>LOG</x:v>
      </x:c>
      <x:c r="C436" s="12" t="str">
        <x:v>WP11</x:v>
      </x:c>
      <x:c r="D436" s="12" t="str">
        <x:v>부분 구현</x:v>
      </x:c>
      <x:c r="E436" s="12" t="str">
        <x:v>P0</x:v>
      </x:c>
      <x:c r="F436" s="12" t="str">
        <x:v>단일 파일 Streaming 다운로드</x:v>
      </x:c>
      <x:c r="G436" s="12" t="str">
        <x:v>ADM→대상 Agent 또는 Archive Store 흐름으로 **단일 파일 Streaming 다운로드** 기능을 제품 계약·기본 구현·실제 Consumer·운영 기능까지 연결한다. 단순 Interface, 화면 Route, Sample 문자열만으로 완료 처리하지 않는다.</x:v>
      </x:c>
      <x:c r="H436" s="12" t="str">
        <x:v>실제 파일·대용량·권한·공격 fixture·disconnect·multi-instance로 정상·오류·경계·부분 실패·재시도/복구·권한·감사·다중 인스턴스 영향까지 자동 Test와 최신 SHA Evidence로 검증한다.</x:v>
      </x:c>
      <x:c r="I436" s="12" t="str"/>
      <x:c r="J436" s="12" t="str">
        <x:v>WP11-INS</x:v>
      </x:c>
      <x:c r="K436" s="12" t="str"/>
      <x:c r="L436" s="12" t="str"/>
    </x:row>
    <x:row r="437">
      <x:c r="A437" s="12" t="str">
        <x:v>CPF-QA-D03-LOG-015</x:v>
      </x:c>
      <x:c r="B437" s="12" t="str">
        <x:v>LOG</x:v>
      </x:c>
      <x:c r="C437" s="12" t="str">
        <x:v>WP11</x:v>
      </x:c>
      <x:c r="D437" s="12" t="str">
        <x:v>부분 구현</x:v>
      </x:c>
      <x:c r="E437" s="12" t="str">
        <x:v>P0</x:v>
      </x:c>
      <x:c r="F437" s="12" t="str">
        <x:v>다중 파일 ZIP 다운로드</x:v>
      </x:c>
      <x:c r="G437" s="12" t="str">
        <x:v>ADM→대상 Agent 또는 Archive Store 흐름으로 **다중 파일 ZIP 다운로드** 기능을 제품 계약·기본 구현·실제 Consumer·운영 기능까지 연결한다. 단순 Interface, 화면 Route, Sample 문자열만으로 완료 처리하지 않는다.</x:v>
      </x:c>
      <x:c r="H437" s="12" t="str">
        <x:v>실제 파일·대용량·권한·공격 fixture·disconnect·multi-instance로 정상·오류·경계·부분 실패·재시도/복구·권한·감사·다중 인스턴스 영향까지 자동 Test와 최신 SHA Evidence로 검증한다.</x:v>
      </x:c>
      <x:c r="I437" s="12" t="str"/>
      <x:c r="J437" s="12" t="str">
        <x:v>WP11-INS</x:v>
      </x:c>
      <x:c r="K437" s="12" t="str"/>
      <x:c r="L437" s="12" t="str"/>
    </x:row>
    <x:row r="438">
      <x:c r="A438" s="12" t="str">
        <x:v>CPF-QA-D03-LOG-016</x:v>
      </x:c>
      <x:c r="B438" s="12" t="str">
        <x:v>LOG</x:v>
      </x:c>
      <x:c r="C438" s="12" t="str">
        <x:v>WP11</x:v>
      </x:c>
      <x:c r="D438" s="12" t="str">
        <x:v>부분 구현</x:v>
      </x:c>
      <x:c r="E438" s="12" t="str">
        <x:v>P0</x:v>
      </x:c>
      <x:c r="F438" s="12" t="str">
        <x:v>다중 인스턴스 시간대 묶음</x:v>
      </x:c>
      <x:c r="G438" s="12" t="str">
        <x:v>ADM→대상 Agent 또는 Archive Store 흐름으로 **다중 인스턴스 시간대 묶음** 기능을 제품 계약·기본 구현·실제 Consumer·운영 기능까지 연결한다. 단순 Interface, 화면 Route, Sample 문자열만으로 완료 처리하지 않는다.</x:v>
      </x:c>
      <x:c r="H438" s="12" t="str">
        <x:v>실제 파일·대용량·권한·공격 fixture·disconnect·multi-instance로 정상·오류·경계·부분 실패·재시도/복구·권한·감사·다중 인스턴스 영향까지 자동 Test와 최신 SHA Evidence로 검증한다.</x:v>
      </x:c>
      <x:c r="I438" s="12" t="str"/>
      <x:c r="J438" s="12" t="str">
        <x:v>WP11-INS</x:v>
      </x:c>
      <x:c r="K438" s="12" t="str"/>
      <x:c r="L438" s="12" t="str"/>
    </x:row>
    <x:row r="439">
      <x:c r="A439" s="12" t="str">
        <x:v>CPF-QA-D03-LOG-017</x:v>
      </x:c>
      <x:c r="B439" s="12" t="str">
        <x:v>LOG</x:v>
      </x:c>
      <x:c r="C439" s="12" t="str">
        <x:v>WP11</x:v>
      </x:c>
      <x:c r="D439" s="12" t="str">
        <x:v>부분 구현</x:v>
      </x:c>
      <x:c r="E439" s="12" t="str">
        <x:v>P0</x:v>
      </x:c>
      <x:c r="F439" s="12" t="str">
        <x:v>Transaction ID 관련 로그 묶음</x:v>
      </x:c>
      <x:c r="G439" s="12" t="str">
        <x:v>ADM→대상 Agent 또는 Archive Store 흐름으로 **Transaction ID 관련 로그 묶음** 기능을 제품 계약·기본 구현·실제 Consumer·운영 기능까지 연결한다. 단순 Interface, 화면 Route, Sample 문자열만으로 완료 처리하지 않는다.</x:v>
      </x:c>
      <x:c r="H439" s="12" t="str">
        <x:v>실제 파일·대용량·권한·공격 fixture·disconnect·multi-instance로 정상·오류·경계·부분 실패·재시도/복구·권한·감사·다중 인스턴스 영향까지 자동 Test와 최신 SHA Evidence로 검증한다.</x:v>
      </x:c>
      <x:c r="I439" s="12" t="str"/>
      <x:c r="J439" s="12" t="str">
        <x:v>WP11-INS</x:v>
      </x:c>
      <x:c r="K439" s="12" t="str"/>
      <x:c r="L439" s="12" t="str"/>
    </x:row>
    <x:row r="440">
      <x:c r="A440" s="12" t="str">
        <x:v>CPF-QA-D03-LOG-018</x:v>
      </x:c>
      <x:c r="B440" s="12" t="str">
        <x:v>LOG</x:v>
      </x:c>
      <x:c r="C440" s="12" t="str">
        <x:v>WP11</x:v>
      </x:c>
      <x:c r="D440" s="12" t="str">
        <x:v>부분 구현</x:v>
      </x:c>
      <x:c r="E440" s="12" t="str">
        <x:v>P0</x:v>
      </x:c>
      <x:c r="F440" s="12" t="str">
        <x:v>Trace ID 관련 로그 묶음</x:v>
      </x:c>
      <x:c r="G440" s="12" t="str">
        <x:v>ADM→대상 Agent 또는 Archive Store 흐름으로 **Trace ID 관련 로그 묶음** 기능을 제품 계약·기본 구현·실제 Consumer·운영 기능까지 연결한다. 단순 Interface, 화면 Route, Sample 문자열만으로 완료 처리하지 않는다.</x:v>
      </x:c>
      <x:c r="H440" s="12" t="str">
        <x:v>실제 파일·대용량·권한·공격 fixture·disconnect·multi-instance로 정상·오류·경계·부분 실패·재시도/복구·권한·감사·다중 인스턴스 영향까지 자동 Test와 최신 SHA Evidence로 검증한다.</x:v>
      </x:c>
      <x:c r="I440" s="12" t="str"/>
      <x:c r="J440" s="12" t="str">
        <x:v>WP11-INS</x:v>
      </x:c>
      <x:c r="K440" s="12" t="str"/>
      <x:c r="L440" s="12" t="str"/>
    </x:row>
    <x:row r="441">
      <x:c r="A441" s="12" t="str">
        <x:v>CPF-QA-D03-LOG-019</x:v>
      </x:c>
      <x:c r="B441" s="12" t="str">
        <x:v>LOG</x:v>
      </x:c>
      <x:c r="C441" s="12" t="str">
        <x:v>WP11</x:v>
      </x:c>
      <x:c r="D441" s="12" t="str">
        <x:v>부분 구현</x:v>
      </x:c>
      <x:c r="E441" s="12" t="str">
        <x:v>P0</x:v>
      </x:c>
      <x:c r="F441" s="12" t="str">
        <x:v>종료 Instance Archive 조회</x:v>
      </x:c>
      <x:c r="G441" s="12" t="str">
        <x:v>ADM→대상 Agent 또는 Archive Store 흐름으로 **종료 Instance Archive 조회** 기능을 제품 계약·기본 구현·실제 Consumer·운영 기능까지 연결한다. 단순 Interface, 화면 Route, Sample 문자열만으로 완료 처리하지 않는다.</x:v>
      </x:c>
      <x:c r="H441" s="12" t="str">
        <x:v>실제 파일·대용량·권한·공격 fixture·disconnect·multi-instance로 정상·오류·경계·부분 실패·재시도/복구·권한·감사·다중 인스턴스 영향까지 자동 Test와 최신 SHA Evidence로 검증한다.</x:v>
      </x:c>
      <x:c r="I441" s="12" t="str"/>
      <x:c r="J441" s="12" t="str">
        <x:v>WP11-INS</x:v>
      </x:c>
      <x:c r="K441" s="12" t="str"/>
      <x:c r="L441" s="12" t="str"/>
    </x:row>
    <x:row r="442">
      <x:c r="A442" s="12" t="str">
        <x:v>CPF-QA-D03-LOG-020</x:v>
      </x:c>
      <x:c r="B442" s="12" t="str">
        <x:v>LOG</x:v>
      </x:c>
      <x:c r="C442" s="12" t="str">
        <x:v>WP11</x:v>
      </x:c>
      <x:c r="D442" s="12" t="str">
        <x:v>부분 구현</x:v>
      </x:c>
      <x:c r="E442" s="12" t="str">
        <x:v>P0</x:v>
      </x:c>
      <x:c r="F442" s="12" t="str">
        <x:v>통신불가 Instance 오류 표시</x:v>
      </x:c>
      <x:c r="G442" s="12" t="str">
        <x:v>ADM→대상 Agent 또는 Archive Store 흐름으로 **통신불가 Instance 오류 표시** 기능을 제품 계약·기본 구현·실제 Consumer·운영 기능까지 연결한다. 단순 Interface, 화면 Route, Sample 문자열만으로 완료 처리하지 않는다.</x:v>
      </x:c>
      <x:c r="H442" s="12" t="str">
        <x:v>실제 파일·대용량·권한·공격 fixture·disconnect·multi-instance로 정상·오류·경계·부분 실패·재시도/복구·권한·감사·다중 인스턴스 영향까지 자동 Test와 최신 SHA Evidence로 검증한다.</x:v>
      </x:c>
      <x:c r="I442" s="12" t="str"/>
      <x:c r="J442" s="12" t="str">
        <x:v>WP11-INS</x:v>
      </x:c>
      <x:c r="K442" s="12" t="str"/>
      <x:c r="L442" s="12" t="str"/>
    </x:row>
    <x:row r="443">
      <x:c r="A443" s="12" t="str">
        <x:v>CPF-QA-D03-LOG-021</x:v>
      </x:c>
      <x:c r="B443" s="12" t="str">
        <x:v>LOG</x:v>
      </x:c>
      <x:c r="C443" s="12" t="str">
        <x:v>WP11</x:v>
      </x:c>
      <x:c r="D443" s="12" t="str">
        <x:v>부분 구현</x:v>
      </x:c>
      <x:c r="E443" s="12" t="str">
        <x:v>P0</x:v>
      </x:c>
      <x:c r="F443" s="12" t="str">
        <x:v>다운로드 취소·Timeout</x:v>
      </x:c>
      <x:c r="G443" s="12" t="str">
        <x:v>ADM→대상 Agent 또는 Archive Store 흐름으로 **다운로드 취소·Timeout** 기능을 제품 계약·기본 구현·실제 Consumer·운영 기능까지 연결한다. 단순 Interface, 화면 Route, Sample 문자열만으로 완료 처리하지 않는다.</x:v>
      </x:c>
      <x:c r="H443" s="12" t="str">
        <x:v>실제 파일·대용량·권한·공격 fixture·disconnect·multi-instance로 정상·오류·경계·부분 실패·재시도/복구·권한·감사·다중 인스턴스 영향까지 자동 Test와 최신 SHA Evidence로 검증한다.</x:v>
      </x:c>
      <x:c r="I443" s="12" t="str"/>
      <x:c r="J443" s="12" t="str">
        <x:v>WP11-INS</x:v>
      </x:c>
      <x:c r="K443" s="12" t="str"/>
      <x:c r="L443" s="12" t="str"/>
    </x:row>
    <x:row r="444">
      <x:c r="A444" s="12" t="str">
        <x:v>CPF-QA-D03-LOG-022</x:v>
      </x:c>
      <x:c r="B444" s="12" t="str">
        <x:v>LOG</x:v>
      </x:c>
      <x:c r="C444" s="12" t="str">
        <x:v>WP11</x:v>
      </x:c>
      <x:c r="D444" s="12" t="str">
        <x:v>부분 구현</x:v>
      </x:c>
      <x:c r="E444" s="12" t="str">
        <x:v>P0</x:v>
      </x:c>
      <x:c r="F444" s="12" t="str">
        <x:v>Path Traversal·Symlink 방어</x:v>
      </x:c>
      <x:c r="G444" s="12" t="str">
        <x:v>ADM→대상 Agent 또는 Archive Store 흐름으로 **Path Traversal·Symlink 방어** 기능을 제품 계약·기본 구현·실제 Consumer·운영 기능까지 연결한다. 단순 Interface, 화면 Route, Sample 문자열만으로 완료 처리하지 않는다.</x:v>
      </x:c>
      <x:c r="H444" s="12" t="str">
        <x:v>실제 파일·대용량·권한·공격 fixture·disconnect·multi-instance로 정상·오류·경계·부분 실패·재시도/복구·권한·감사·다중 인스턴스 영향까지 자동 Test와 최신 SHA Evidence로 검증한다.</x:v>
      </x:c>
      <x:c r="I444" s="12" t="str"/>
      <x:c r="J444" s="12" t="str">
        <x:v>WP11-INS</x:v>
      </x:c>
      <x:c r="K444" s="12" t="str"/>
      <x:c r="L444" s="12" t="str"/>
    </x:row>
    <x:row r="445">
      <x:c r="A445" s="12" t="str">
        <x:v>CPF-QA-D03-LOG-023</x:v>
      </x:c>
      <x:c r="B445" s="12" t="str">
        <x:v>LOG</x:v>
      </x:c>
      <x:c r="C445" s="12" t="str">
        <x:v>WP11</x:v>
      </x:c>
      <x:c r="D445" s="12" t="str">
        <x:v>부분 구현</x:v>
      </x:c>
      <x:c r="E445" s="12" t="str">
        <x:v>P0</x:v>
      </x:c>
      <x:c r="F445" s="12" t="str">
        <x:v>허용 Log Root Catalog</x:v>
      </x:c>
      <x:c r="G445" s="12" t="str">
        <x:v>ADM→대상 Agent 또는 Archive Store 흐름으로 **허용 Log Root Catalog** 기능을 제품 계약·기본 구현·실제 Consumer·운영 기능까지 연결한다. 단순 Interface, 화면 Route, Sample 문자열만으로 완료 처리하지 않는다.</x:v>
      </x:c>
      <x:c r="H445" s="12" t="str">
        <x:v>실제 파일·대용량·권한·공격 fixture·disconnect·multi-instance로 정상·오류·경계·부분 실패·재시도/복구·권한·감사·다중 인스턴스 영향까지 자동 Test와 최신 SHA Evidence로 검증한다.</x:v>
      </x:c>
      <x:c r="I445" s="12" t="str"/>
      <x:c r="J445" s="12" t="str">
        <x:v>WP11-INS</x:v>
      </x:c>
      <x:c r="K445" s="12" t="str"/>
      <x:c r="L445" s="12" t="str"/>
    </x:row>
    <x:row r="446">
      <x:c r="A446" s="12" t="str">
        <x:v>CPF-QA-D03-LOG-024</x:v>
      </x:c>
      <x:c r="B446" s="12" t="str">
        <x:v>LOG</x:v>
      </x:c>
      <x:c r="C446" s="12" t="str">
        <x:v>WP11</x:v>
      </x:c>
      <x:c r="D446" s="12" t="str">
        <x:v>부분 구현</x:v>
      </x:c>
      <x:c r="E446" s="12" t="str">
        <x:v>P0</x:v>
      </x:c>
      <x:c r="F446" s="12" t="str">
        <x:v>Secret·Key 파일 반출 차단</x:v>
      </x:c>
      <x:c r="G446" s="12" t="str">
        <x:v>ADM→대상 Agent 또는 Archive Store 흐름으로 **Secret·Key 파일 반출 차단** 기능을 제품 계약·기본 구현·실제 Consumer·운영 기능까지 연결한다. 단순 Interface, 화면 Route, Sample 문자열만으로 완료 처리하지 않는다.</x:v>
      </x:c>
      <x:c r="H446" s="12" t="str">
        <x:v>실제 파일·대용량·권한·공격 fixture·disconnect·multi-instance로 정상·오류·경계·부분 실패·재시도/복구·권한·감사·다중 인스턴스 영향까지 자동 Test와 최신 SHA Evidence로 검증한다.</x:v>
      </x:c>
      <x:c r="I446" s="12" t="str"/>
      <x:c r="J446" s="12" t="str">
        <x:v>WP11-INS</x:v>
      </x:c>
      <x:c r="K446" s="12" t="str"/>
      <x:c r="L446" s="12" t="str"/>
    </x:row>
    <x:row r="447">
      <x:c r="A447" s="12" t="str">
        <x:v>CPF-QA-D03-LOG-025</x:v>
      </x:c>
      <x:c r="B447" s="12" t="str">
        <x:v>LOG</x:v>
      </x:c>
      <x:c r="C447" s="12" t="str">
        <x:v>WP11</x:v>
      </x:c>
      <x:c r="D447" s="12" t="str">
        <x:v>부분 구현</x:v>
      </x:c>
      <x:c r="E447" s="12" t="str">
        <x:v>P0</x:v>
      </x:c>
      <x:c r="F447" s="12" t="str">
        <x:v>다운로드 권한·사유·승인</x:v>
      </x:c>
      <x:c r="G447" s="12" t="str">
        <x:v>ADM→대상 Agent 또는 Archive Store 흐름으로 **다운로드 권한·사유·승인** 기능을 제품 계약·기본 구현·실제 Consumer·운영 기능까지 연결한다. 단순 Interface, 화면 Route, Sample 문자열만으로 완료 처리하지 않는다.</x:v>
      </x:c>
      <x:c r="H447" s="12" t="str">
        <x:v>실제 파일·대용량·권한·공격 fixture·disconnect·multi-instance로 정상·오류·경계·부분 실패·재시도/복구·권한·감사·다중 인스턴스 영향까지 자동 Test와 최신 SHA Evidence로 검증한다.</x:v>
      </x:c>
      <x:c r="I447" s="12" t="str"/>
      <x:c r="J447" s="12" t="str">
        <x:v>WP11-INS</x:v>
      </x:c>
      <x:c r="K447" s="12" t="str"/>
      <x:c r="L447" s="12" t="str"/>
    </x:row>
    <x:row r="448">
      <x:c r="A448" s="12" t="str">
        <x:v>CPF-QA-D03-LOG-026</x:v>
      </x:c>
      <x:c r="B448" s="12" t="str">
        <x:v>LOG</x:v>
      </x:c>
      <x:c r="C448" s="12" t="str">
        <x:v>WP11</x:v>
      </x:c>
      <x:c r="D448" s="12" t="str">
        <x:v>부분 구현</x:v>
      </x:c>
      <x:c r="E448" s="12" t="str">
        <x:v>P0</x:v>
      </x:c>
      <x:c r="F448" s="12" t="str">
        <x:v>다운로드 감사</x:v>
      </x:c>
      <x:c r="G448" s="12" t="str">
        <x:v>ADM→대상 Agent 또는 Archive Store 흐름으로 **다운로드 감사** 기능을 제품 계약·기본 구현·실제 Consumer·운영 기능까지 연결한다. 단순 Interface, 화면 Route, Sample 문자열만으로 완료 처리하지 않는다.</x:v>
      </x:c>
      <x:c r="H448" s="12" t="str">
        <x:v>실제 파일·대용량·권한·공격 fixture·disconnect·multi-instance로 정상·오류·경계·부분 실패·재시도/복구·권한·감사·다중 인스턴스 영향까지 자동 Test와 최신 SHA Evidence로 검증한다.</x:v>
      </x:c>
      <x:c r="I448" s="12" t="str"/>
      <x:c r="J448" s="12" t="str">
        <x:v>WP11-INS</x:v>
      </x:c>
      <x:c r="K448" s="12" t="str"/>
      <x:c r="L448" s="12" t="str"/>
    </x:row>
    <x:row r="449">
      <x:c r="A449" s="12" t="str">
        <x:v>CPF-QA-D03-LOG-027</x:v>
      </x:c>
      <x:c r="B449" s="12" t="str">
        <x:v>LOG</x:v>
      </x:c>
      <x:c r="C449" s="12" t="str">
        <x:v>WP11</x:v>
      </x:c>
      <x:c r="D449" s="12" t="str">
        <x:v>부분 구현</x:v>
      </x:c>
      <x:c r="E449" s="12" t="str">
        <x:v>P0</x:v>
      </x:c>
      <x:c r="F449" s="12" t="str">
        <x:v>파일 수·크기·기간 제한</x:v>
      </x:c>
      <x:c r="G449" s="12" t="str">
        <x:v>ADM→대상 Agent 또는 Archive Store 흐름으로 **파일 수·크기·기간 제한** 기능을 제품 계약·기본 구현·실제 Consumer·운영 기능까지 연결한다. 단순 Interface, 화면 Route, Sample 문자열만으로 완료 처리하지 않는다.</x:v>
      </x:c>
      <x:c r="H449" s="12" t="str">
        <x:v>실제 파일·대용량·권한·공격 fixture·disconnect·multi-instance로 정상·오류·경계·부분 실패·재시도/복구·권한·감사·다중 인스턴스 영향까지 자동 Test와 최신 SHA Evidence로 검증한다.</x:v>
      </x:c>
      <x:c r="I449" s="12" t="str"/>
      <x:c r="J449" s="12" t="str">
        <x:v>WP11-INS</x:v>
      </x:c>
      <x:c r="K449" s="12" t="str"/>
      <x:c r="L449" s="12" t="str"/>
    </x:row>
    <x:row r="450">
      <x:c r="A450" s="12" t="str">
        <x:v>CPF-QA-D03-LOG-028</x:v>
      </x:c>
      <x:c r="B450" s="12" t="str">
        <x:v>LOG</x:v>
      </x:c>
      <x:c r="C450" s="12" t="str">
        <x:v>WP11</x:v>
      </x:c>
      <x:c r="D450" s="12" t="str">
        <x:v>부분 구현</x:v>
      </x:c>
      <x:c r="E450" s="12" t="str">
        <x:v>P0</x:v>
      </x:c>
      <x:c r="F450" s="12" t="str">
        <x:v>동시 다운로드 부하 제한</x:v>
      </x:c>
      <x:c r="G450" s="12" t="str">
        <x:v>ADM→대상 Agent 또는 Archive Store 흐름으로 **동시 다운로드 부하 제한** 기능을 제품 계약·기본 구현·실제 Consumer·운영 기능까지 연결한다. 단순 Interface, 화면 Route, Sample 문자열만으로 완료 처리하지 않는다.</x:v>
      </x:c>
      <x:c r="H450" s="12" t="str">
        <x:v>실제 파일·대용량·권한·공격 fixture·disconnect·multi-instance로 정상·오류·경계·부분 실패·재시도/복구·권한·감사·다중 인스턴스 영향까지 자동 Test와 최신 SHA Evidence로 검증한다.</x:v>
      </x:c>
      <x:c r="I450" s="12" t="str"/>
      <x:c r="J450" s="12" t="str">
        <x:v>WP11-INS</x:v>
      </x:c>
      <x:c r="K450" s="12" t="str"/>
      <x:c r="L450" s="12" t="str"/>
    </x:row>
    <x:row r="451">
      <x:c r="A451" s="12" t="str">
        <x:v>CPF-QA-D03-LOG-029</x:v>
      </x:c>
      <x:c r="B451" s="12" t="str">
        <x:v>LOG</x:v>
      </x:c>
      <x:c r="C451" s="12" t="str">
        <x:v>WP11</x:v>
      </x:c>
      <x:c r="D451" s="12" t="str">
        <x:v>부분 구현</x:v>
      </x:c>
      <x:c r="E451" s="12" t="str">
        <x:v>P0</x:v>
      </x:c>
      <x:c r="F451" s="12" t="str">
        <x:v>임시 ZIP 암호화·자동삭제</x:v>
      </x:c>
      <x:c r="G451" s="12" t="str">
        <x:v>ADM→대상 Agent 또는 Archive Store 흐름으로 **임시 ZIP 암호화·자동삭제** 기능을 제품 계약·기본 구현·실제 Consumer·운영 기능까지 연결한다. 단순 Interface, 화면 Route, Sample 문자열만으로 완료 처리하지 않는다.</x:v>
      </x:c>
      <x:c r="H451" s="12" t="str">
        <x:v>실제 파일·대용량·권한·공격 fixture·disconnect·multi-instance로 정상·오류·경계·부분 실패·재시도/복구·권한·감사·다중 인스턴스 영향까지 자동 Test와 최신 SHA Evidence로 검증한다.</x:v>
      </x:c>
      <x:c r="I451" s="12" t="str"/>
      <x:c r="J451" s="12" t="str">
        <x:v>WP11-INS</x:v>
      </x:c>
      <x:c r="K451" s="12" t="str"/>
      <x:c r="L451" s="12" t="str"/>
    </x:row>
    <x:row r="452">
      <x:c r="A452" s="12" t="str">
        <x:v>CPF-QA-D03-LOG-030</x:v>
      </x:c>
      <x:c r="B452" s="12" t="str">
        <x:v>LOG</x:v>
      </x:c>
      <x:c r="C452" s="12" t="str">
        <x:v>WP11</x:v>
      </x:c>
      <x:c r="D452" s="12" t="str">
        <x:v>부분 구현</x:v>
      </x:c>
      <x:c r="E452" s="12" t="str">
        <x:v>P0</x:v>
      </x:c>
      <x:c r="F452" s="12" t="str">
        <x:v>다운로드 마스킹 정책</x:v>
      </x:c>
      <x:c r="G452" s="12" t="str">
        <x:v>ADM→대상 Agent 또는 Archive Store 흐름으로 **다운로드 마스킹 정책** 기능을 제품 계약·기본 구현·실제 Consumer·운영 기능까지 연결한다. 단순 Interface, 화면 Route, Sample 문자열만으로 완료 처리하지 않는다.</x:v>
      </x:c>
      <x:c r="H452" s="12" t="str">
        <x:v>실제 파일·대용량·권한·공격 fixture·disconnect·multi-instance로 정상·오류·경계·부분 실패·재시도/복구·권한·감사·다중 인스턴스 영향까지 자동 Test와 최신 SHA Evidence로 검증한다.</x:v>
      </x:c>
      <x:c r="I452" s="12" t="str"/>
      <x:c r="J452" s="12" t="str">
        <x:v>WP11-INS</x:v>
      </x:c>
      <x:c r="K452" s="12" t="str"/>
      <x:c r="L452" s="12" t="str"/>
    </x:row>
    <x:row r="453">
      <x:c r="A453" s="12" t="str">
        <x:v>CPF-QA-D03-LOG-031</x:v>
      </x:c>
      <x:c r="B453" s="12" t="str">
        <x:v>LOG</x:v>
      </x:c>
      <x:c r="C453" s="12" t="str">
        <x:v>WP11</x:v>
      </x:c>
      <x:c r="D453" s="12" t="str">
        <x:v>부분 구현</x:v>
      </x:c>
      <x:c r="E453" s="12" t="str">
        <x:v>P0</x:v>
      </x:c>
      <x:c r="F453" s="12" t="str">
        <x:v>부분 실패 Manifest</x:v>
      </x:c>
      <x:c r="G453" s="12" t="str">
        <x:v>ADM→대상 Agent 또는 Archive Store 흐름으로 **부분 실패 Manifest** 기능을 제품 계약·기본 구현·실제 Consumer·운영 기능까지 연결한다. 단순 Interface, 화면 Route, Sample 문자열만으로 완료 처리하지 않는다.</x:v>
      </x:c>
      <x:c r="H453" s="12" t="str">
        <x:v>실제 파일·대용량·권한·공격 fixture·disconnect·multi-instance로 정상·오류·경계·부분 실패·재시도/복구·권한·감사·다중 인스턴스 영향까지 자동 Test와 최신 SHA Evidence로 검증한다.</x:v>
      </x:c>
      <x:c r="I453" s="12" t="str"/>
      <x:c r="J453" s="12" t="str">
        <x:v>WP11-INS</x:v>
      </x:c>
      <x:c r="K453" s="12" t="str"/>
      <x:c r="L453" s="12" t="str"/>
    </x:row>
    <x:row r="454">
      <x:c r="A454" s="12" t="str">
        <x:v>CPF-QA-D03-DOC-001</x:v>
      </x:c>
      <x:c r="B454" s="12" t="str">
        <x:v>DOC</x:v>
      </x:c>
      <x:c r="C454" s="12" t="str">
        <x:v>WP12</x:v>
      </x:c>
      <x:c r="D454" s="12" t="str">
        <x:v>부분 구현</x:v>
      </x:c>
      <x:c r="E454" s="12" t="str">
        <x:v>P1</x:v>
      </x:c>
      <x:c r="F454" s="12" t="str">
        <x:v>기능 중심 Package 구조</x:v>
      </x:c>
      <x:c r="G454" s="12" t="str">
        <x:v>문서·Source 품질 Gate로 **기능 중심 Package 구조** 기능을 제품 계약·기본 구현·실제 Consumer·운영 기능까지 연결한다. 단순 Interface, 화면 Route, Sample 문자열만으로 완료 처리하지 않는다.</x:v>
      </x:c>
      <x:c r="H454" s="12" t="str">
        <x:v>JavaDoc generation, OpenAPI snapshot, link/command execution, package scan으로 정상·오류·경계·부분 실패·재시도/복구·권한·감사·다중 인스턴스 영향까지 자동 Test와 최신 SHA Evidence로 검증한다.</x:v>
      </x:c>
      <x:c r="I454" s="12" t="str"/>
      <x:c r="J454" s="12" t="str">
        <x:v>all</x:v>
      </x:c>
      <x:c r="K454" s="12" t="str"/>
      <x:c r="L454" s="12" t="str"/>
    </x:row>
    <x:row r="455">
      <x:c r="A455" s="12" t="str">
        <x:v>CPF-QA-D03-DOC-002</x:v>
      </x:c>
      <x:c r="B455" s="12" t="str">
        <x:v>DOC</x:v>
      </x:c>
      <x:c r="C455" s="12" t="str">
        <x:v>WP12</x:v>
      </x:c>
      <x:c r="D455" s="12" t="str">
        <x:v>부분 구현</x:v>
      </x:c>
      <x:c r="E455" s="12" t="str">
        <x:v>P1</x:v>
      </x:c>
      <x:c r="F455" s="12" t="str">
        <x:v>일관된 Class·Method Naming</x:v>
      </x:c>
      <x:c r="G455" s="12" t="str">
        <x:v>문서·Source 품질 Gate로 **일관된 Class·Method Naming** 기능을 제품 계약·기본 구현·실제 Consumer·운영 기능까지 연결한다. 단순 Interface, 화면 Route, Sample 문자열만으로 완료 처리하지 않는다.</x:v>
      </x:c>
      <x:c r="H455" s="12" t="str">
        <x:v>JavaDoc generation, OpenAPI snapshot, link/command execution, package scan으로 정상·오류·경계·부분 실패·재시도/복구·권한·감사·다중 인스턴스 영향까지 자동 Test와 최신 SHA Evidence로 검증한다.</x:v>
      </x:c>
      <x:c r="I455" s="12" t="str"/>
      <x:c r="J455" s="12" t="str">
        <x:v>all</x:v>
      </x:c>
      <x:c r="K455" s="12" t="str"/>
      <x:c r="L455" s="12" t="str"/>
    </x:row>
    <x:row r="456">
      <x:c r="A456" s="12" t="str">
        <x:v>CPF-QA-D03-DOC-003</x:v>
      </x:c>
      <x:c r="B456" s="12" t="str">
        <x:v>DOC</x:v>
      </x:c>
      <x:c r="C456" s="12" t="str">
        <x:v>WP12</x:v>
      </x:c>
      <x:c r="D456" s="12" t="str">
        <x:v>부분 구현</x:v>
      </x:c>
      <x:c r="E456" s="12" t="str">
        <x:v>P1</x:v>
      </x:c>
      <x:c r="F456" s="12" t="str">
        <x:v>모든 핵심 Package package-info.java 한글 설명</x:v>
      </x:c>
      <x:c r="G456" s="12" t="str">
        <x:v>문서·Source 품질 Gate로 **모든 핵심 Package package-info.java 한글 설명** 기능을 제품 계약·기본 구현·실제 Consumer·운영 기능까지 연결한다. 단순 Interface, 화면 Route, Sample 문자열만으로 완료 처리하지 않는다.</x:v>
      </x:c>
      <x:c r="H456" s="12" t="str">
        <x:v>JavaDoc generation, OpenAPI snapshot, link/command execution, package scan으로 정상·오류·경계·부분 실패·재시도/복구·권한·감사·다중 인스턴스 영향까지 자동 Test와 최신 SHA Evidence로 검증한다.</x:v>
      </x:c>
      <x:c r="I456" s="12" t="str"/>
      <x:c r="J456" s="12" t="str">
        <x:v>all</x:v>
      </x:c>
      <x:c r="K456" s="12" t="str"/>
      <x:c r="L456" s="12" t="str"/>
    </x:row>
    <x:row r="457">
      <x:c r="A457" s="12" t="str">
        <x:v>CPF-QA-D03-DOC-004</x:v>
      </x:c>
      <x:c r="B457" s="12" t="str">
        <x:v>DOC</x:v>
      </x:c>
      <x:c r="C457" s="12" t="str">
        <x:v>WP12</x:v>
      </x:c>
      <x:c r="D457" s="12" t="str">
        <x:v>부분 구현</x:v>
      </x:c>
      <x:c r="E457" s="12" t="str">
        <x:v>P1</x:v>
      </x:c>
      <x:c r="F457" s="12" t="str">
        <x:v>Public API 한글 JavaDoc</x:v>
      </x:c>
      <x:c r="G457" s="12" t="str">
        <x:v>문서·Source 품질 Gate로 **Public API 한글 JavaDoc** 기능을 제품 계약·기본 구현·실제 Consumer·운영 기능까지 연결한다. 단순 Interface, 화면 Route, Sample 문자열만으로 완료 처리하지 않는다.</x:v>
      </x:c>
      <x:c r="H457" s="12" t="str">
        <x:v>JavaDoc generation, OpenAPI snapshot, link/command execution, package scan으로 정상·오류·경계·부분 실패·재시도/복구·권한·감사·다중 인스턴스 영향까지 자동 Test와 최신 SHA Evidence로 검증한다.</x:v>
      </x:c>
      <x:c r="I457" s="12" t="str"/>
      <x:c r="J457" s="12" t="str">
        <x:v>all</x:v>
      </x:c>
      <x:c r="K457" s="12" t="str"/>
      <x:c r="L457" s="12" t="str"/>
    </x:row>
    <x:row r="458">
      <x:c r="A458" s="12" t="str">
        <x:v>CPF-QA-D03-DOC-005</x:v>
      </x:c>
      <x:c r="B458" s="12" t="str">
        <x:v>DOC</x:v>
      </x:c>
      <x:c r="C458" s="12" t="str">
        <x:v>WP12</x:v>
      </x:c>
      <x:c r="D458" s="12" t="str">
        <x:v>부분 구현</x:v>
      </x:c>
      <x:c r="E458" s="12" t="str">
        <x:v>P1</x:v>
      </x:c>
      <x:c r="F458" s="12" t="str">
        <x:v>SPI 한글 JavaDoc</x:v>
      </x:c>
      <x:c r="G458" s="12" t="str">
        <x:v>문서·Source 품질 Gate로 **SPI 한글 JavaDoc** 기능을 제품 계약·기본 구현·실제 Consumer·운영 기능까지 연결한다. 단순 Interface, 화면 Route, Sample 문자열만으로 완료 처리하지 않는다.</x:v>
      </x:c>
      <x:c r="H458" s="12" t="str">
        <x:v>JavaDoc generation, OpenAPI snapshot, link/command execution, package scan으로 정상·오류·경계·부분 실패·재시도/복구·권한·감사·다중 인스턴스 영향까지 자동 Test와 최신 SHA Evidence로 검증한다.</x:v>
      </x:c>
      <x:c r="I458" s="12" t="str"/>
      <x:c r="J458" s="12" t="str">
        <x:v>all</x:v>
      </x:c>
      <x:c r="K458" s="12" t="str"/>
      <x:c r="L458" s="12" t="str"/>
    </x:row>
    <x:row r="459">
      <x:c r="A459" s="12" t="str">
        <x:v>CPF-QA-D03-DOC-006</x:v>
      </x:c>
      <x:c r="B459" s="12" t="str">
        <x:v>DOC</x:v>
      </x:c>
      <x:c r="C459" s="12" t="str">
        <x:v>WP12</x:v>
      </x:c>
      <x:c r="D459" s="12" t="str">
        <x:v>부분 구현</x:v>
      </x:c>
      <x:c r="E459" s="12" t="str">
        <x:v>P1</x:v>
      </x:c>
      <x:c r="F459" s="12" t="str">
        <x:v>Service·Controller 한글 JavaDoc</x:v>
      </x:c>
      <x:c r="G459" s="12" t="str">
        <x:v>문서·Source 품질 Gate로 **Service·Controller 한글 JavaDoc** 기능을 제품 계약·기본 구현·실제 Consumer·운영 기능까지 연결한다. 단순 Interface, 화면 Route, Sample 문자열만으로 완료 처리하지 않는다.</x:v>
      </x:c>
      <x:c r="H459" s="12" t="str">
        <x:v>JavaDoc generation, OpenAPI snapshot, link/command execution, package scan으로 정상·오류·경계·부분 실패·재시도/복구·권한·감사·다중 인스턴스 영향까지 자동 Test와 최신 SHA Evidence로 검증한다.</x:v>
      </x:c>
      <x:c r="I459" s="12" t="str"/>
      <x:c r="J459" s="12" t="str">
        <x:v>all</x:v>
      </x:c>
      <x:c r="K459" s="12" t="str"/>
      <x:c r="L459" s="12" t="str"/>
    </x:row>
    <x:row r="460">
      <x:c r="A460" s="12" t="str">
        <x:v>CPF-QA-D03-DOC-007</x:v>
      </x:c>
      <x:c r="B460" s="12" t="str">
        <x:v>DOC</x:v>
      </x:c>
      <x:c r="C460" s="12" t="str">
        <x:v>WP12</x:v>
      </x:c>
      <x:c r="D460" s="12" t="str">
        <x:v>부분 구현</x:v>
      </x:c>
      <x:c r="E460" s="12" t="str">
        <x:v>P1</x:v>
      </x:c>
      <x:c r="F460" s="12" t="str">
        <x:v>복잡 Method 의도·실패조건 주석</x:v>
      </x:c>
      <x:c r="G460" s="12" t="str">
        <x:v>문서·Source 품질 Gate로 **복잡 Method 의도·실패조건 주석** 기능을 제품 계약·기본 구현·실제 Consumer·운영 기능까지 연결한다. 단순 Interface, 화면 Route, Sample 문자열만으로 완료 처리하지 않는다.</x:v>
      </x:c>
      <x:c r="H460" s="12" t="str">
        <x:v>JavaDoc generation, OpenAPI snapshot, link/command execution, package scan으로 정상·오류·경계·부분 실패·재시도/복구·권한·감사·다중 인스턴스 영향까지 자동 Test와 최신 SHA Evidence로 검증한다.</x:v>
      </x:c>
      <x:c r="I460" s="12" t="str"/>
      <x:c r="J460" s="12" t="str">
        <x:v>all</x:v>
      </x:c>
      <x:c r="K460" s="12" t="str"/>
      <x:c r="L460" s="12" t="str"/>
    </x:row>
    <x:row r="461">
      <x:c r="A461" s="12" t="str">
        <x:v>CPF-QA-D03-DOC-008</x:v>
      </x:c>
      <x:c r="B461" s="12" t="str">
        <x:v>DOC</x:v>
      </x:c>
      <x:c r="C461" s="12" t="str">
        <x:v>WP12</x:v>
      </x:c>
      <x:c r="D461" s="12" t="str">
        <x:v>부분 구현</x:v>
      </x:c>
      <x:c r="E461" s="12" t="str">
        <x:v>P1</x:v>
      </x:c>
      <x:c r="F461" s="12" t="str">
        <x:v>Batch Job·Step·Handler JavaDoc</x:v>
      </x:c>
      <x:c r="G461" s="12" t="str">
        <x:v>문서·Source 품질 Gate로 **Batch Job·Step·Handler JavaDoc** 기능을 제품 계약·기본 구현·실제 Consumer·운영 기능까지 연결한다. 단순 Interface, 화면 Route, Sample 문자열만으로 완료 처리하지 않는다.</x:v>
      </x:c>
      <x:c r="H461" s="12" t="str">
        <x:v>JavaDoc generation, OpenAPI snapshot, link/command execution, package scan으로 정상·오류·경계·부분 실패·재시도/복구·권한·감사·다중 인스턴스 영향까지 자동 Test와 최신 SHA Evidence로 검증한다.</x:v>
      </x:c>
      <x:c r="I461" s="12" t="str"/>
      <x:c r="J461" s="12" t="str">
        <x:v>all</x:v>
      </x:c>
      <x:c r="K461" s="12" t="str"/>
      <x:c r="L461" s="12" t="str"/>
    </x:row>
    <x:row r="462">
      <x:c r="A462" s="12" t="str">
        <x:v>CPF-QA-D03-DOC-009</x:v>
      </x:c>
      <x:c r="B462" s="12" t="str">
        <x:v>DOC</x:v>
      </x:c>
      <x:c r="C462" s="12" t="str">
        <x:v>WP12</x:v>
      </x:c>
      <x:c r="D462" s="12" t="str">
        <x:v>부분 구현</x:v>
      </x:c>
      <x:c r="E462" s="12" t="str">
        <x:v>P1</x:v>
      </x:c>
      <x:c r="F462" s="12" t="str">
        <x:v>ConfigurationProperties JavaDoc</x:v>
      </x:c>
      <x:c r="G462" s="12" t="str">
        <x:v>문서·Source 품질 Gate로 **ConfigurationProperties JavaDoc** 기능을 제품 계약·기본 구현·실제 Consumer·운영 기능까지 연결한다. 단순 Interface, 화면 Route, Sample 문자열만으로 완료 처리하지 않는다.</x:v>
      </x:c>
      <x:c r="H462" s="12" t="str">
        <x:v>JavaDoc generation, OpenAPI snapshot, link/command execution, package scan으로 정상·오류·경계·부분 실패·재시도/복구·권한·감사·다중 인스턴스 영향까지 자동 Test와 최신 SHA Evidence로 검증한다.</x:v>
      </x:c>
      <x:c r="I462" s="12" t="str"/>
      <x:c r="J462" s="12" t="str">
        <x:v>all</x:v>
      </x:c>
      <x:c r="K462" s="12" t="str"/>
      <x:c r="L462" s="12" t="str"/>
    </x:row>
    <x:row r="463">
      <x:c r="A463" s="12" t="str">
        <x:v>CPF-QA-D03-DOC-010</x:v>
      </x:c>
      <x:c r="B463" s="12" t="str">
        <x:v>DOC</x:v>
      </x:c>
      <x:c r="C463" s="12" t="str">
        <x:v>WP12</x:v>
      </x:c>
      <x:c r="D463" s="12" t="str">
        <x:v>부분 구현</x:v>
      </x:c>
      <x:c r="E463" s="12" t="str">
        <x:v>P1</x:v>
      </x:c>
      <x:c r="F463" s="12" t="str">
        <x:v>설정 기본값·단위·범위·재기동 설명</x:v>
      </x:c>
      <x:c r="G463" s="12" t="str">
        <x:v>문서·Source 품질 Gate로 **설정 기본값·단위·범위·재기동 설명** 기능을 제품 계약·기본 구현·실제 Consumer·운영 기능까지 연결한다. 단순 Interface, 화면 Route, Sample 문자열만으로 완료 처리하지 않는다.</x:v>
      </x:c>
      <x:c r="H463" s="12" t="str">
        <x:v>JavaDoc generation, OpenAPI snapshot, link/command execution, package scan으로 정상·오류·경계·부분 실패·재시도/복구·권한·감사·다중 인스턴스 영향까지 자동 Test와 최신 SHA Evidence로 검증한다.</x:v>
      </x:c>
      <x:c r="I463" s="12" t="str"/>
      <x:c r="J463" s="12" t="str">
        <x:v>all</x:v>
      </x:c>
      <x:c r="K463" s="12" t="str"/>
      <x:c r="L463" s="12" t="str"/>
    </x:row>
    <x:row r="464">
      <x:c r="A464" s="12" t="str">
        <x:v>CPF-QA-D03-DOC-011</x:v>
      </x:c>
      <x:c r="B464" s="12" t="str">
        <x:v>DOC</x:v>
      </x:c>
      <x:c r="C464" s="12" t="str">
        <x:v>WP12</x:v>
      </x:c>
      <x:c r="D464" s="12" t="str">
        <x:v>부분 구현</x:v>
      </x:c>
      <x:c r="E464" s="12" t="str">
        <x:v>P1</x:v>
      </x:c>
      <x:c r="F464" s="12" t="str">
        <x:v>OpenAPI Controller 설명</x:v>
      </x:c>
      <x:c r="G464" s="12" t="str">
        <x:v>문서·Source 품질 Gate로 **OpenAPI Controller 설명** 기능을 제품 계약·기본 구현·실제 Consumer·운영 기능까지 연결한다. 단순 Interface, 화면 Route, Sample 문자열만으로 완료 처리하지 않는다.</x:v>
      </x:c>
      <x:c r="H464" s="12" t="str">
        <x:v>JavaDoc generation, OpenAPI snapshot, link/command execution, package scan으로 정상·오류·경계·부분 실패·재시도/복구·권한·감사·다중 인스턴스 영향까지 자동 Test와 최신 SHA Evidence로 검증한다.</x:v>
      </x:c>
      <x:c r="I464" s="12" t="str"/>
      <x:c r="J464" s="12" t="str">
        <x:v>all</x:v>
      </x:c>
      <x:c r="K464" s="12" t="str"/>
      <x:c r="L464" s="12" t="str"/>
    </x:row>
    <x:row r="465">
      <x:c r="A465" s="12" t="str">
        <x:v>CPF-QA-D03-DOC-012</x:v>
      </x:c>
      <x:c r="B465" s="12" t="str">
        <x:v>DOC</x:v>
      </x:c>
      <x:c r="C465" s="12" t="str">
        <x:v>WP12</x:v>
      </x:c>
      <x:c r="D465" s="12" t="str">
        <x:v>부분 구현</x:v>
      </x:c>
      <x:c r="E465" s="12" t="str">
        <x:v>P1</x:v>
      </x:c>
      <x:c r="F465" s="12" t="str">
        <x:v>OpenAPI 요청·응답 Schema</x:v>
      </x:c>
      <x:c r="G465" s="12" t="str">
        <x:v>문서·Source 품질 Gate로 **OpenAPI 요청·응답 Schema** 기능을 제품 계약·기본 구현·실제 Consumer·운영 기능까지 연결한다. 단순 Interface, 화면 Route, Sample 문자열만으로 완료 처리하지 않는다.</x:v>
      </x:c>
      <x:c r="H465" s="12" t="str">
        <x:v>JavaDoc generation, OpenAPI snapshot, link/command execution, package scan으로 정상·오류·경계·부분 실패·재시도/복구·권한·감사·다중 인스턴스 영향까지 자동 Test와 최신 SHA Evidence로 검증한다.</x:v>
      </x:c>
      <x:c r="I465" s="12" t="str"/>
      <x:c r="J465" s="12" t="str">
        <x:v>all</x:v>
      </x:c>
      <x:c r="K465" s="12" t="str"/>
      <x:c r="L465" s="12" t="str"/>
    </x:row>
    <x:row r="466">
      <x:c r="A466" s="12" t="str">
        <x:v>CPF-QA-D03-DOC-013</x:v>
      </x:c>
      <x:c r="B466" s="12" t="str">
        <x:v>DOC</x:v>
      </x:c>
      <x:c r="C466" s="12" t="str">
        <x:v>WP12</x:v>
      </x:c>
      <x:c r="D466" s="12" t="str">
        <x:v>부분 구현</x:v>
      </x:c>
      <x:c r="E466" s="12" t="str">
        <x:v>P1</x:v>
      </x:c>
      <x:c r="F466" s="12" t="str">
        <x:v>OpenAPI Header 계약</x:v>
      </x:c>
      <x:c r="G466" s="12" t="str">
        <x:v>문서·Source 품질 Gate로 **OpenAPI Header 계약** 기능을 제품 계약·기본 구현·실제 Consumer·운영 기능까지 연결한다. 단순 Interface, 화면 Route, Sample 문자열만으로 완료 처리하지 않는다.</x:v>
      </x:c>
      <x:c r="H466" s="12" t="str">
        <x:v>JavaDoc generation, OpenAPI snapshot, link/command execution, package scan으로 정상·오류·경계·부분 실패·재시도/복구·권한·감사·다중 인스턴스 영향까지 자동 Test와 최신 SHA Evidence로 검증한다.</x:v>
      </x:c>
      <x:c r="I466" s="12" t="str"/>
      <x:c r="J466" s="12" t="str">
        <x:v>all</x:v>
      </x:c>
      <x:c r="K466" s="12" t="str"/>
      <x:c r="L466" s="12" t="str"/>
    </x:row>
    <x:row r="467">
      <x:c r="A467" s="12" t="str">
        <x:v>CPF-QA-D03-DOC-014</x:v>
      </x:c>
      <x:c r="B467" s="12" t="str">
        <x:v>DOC</x:v>
      </x:c>
      <x:c r="C467" s="12" t="str">
        <x:v>WP12</x:v>
      </x:c>
      <x:c r="D467" s="12" t="str">
        <x:v>부분 구현</x:v>
      </x:c>
      <x:c r="E467" s="12" t="str">
        <x:v>P1</x:v>
      </x:c>
      <x:c r="F467" s="12" t="str">
        <x:v>OpenAPI 정상 예시</x:v>
      </x:c>
      <x:c r="G467" s="12" t="str">
        <x:v>문서·Source 품질 Gate로 **OpenAPI 정상 예시** 기능을 제품 계약·기본 구현·실제 Consumer·운영 기능까지 연결한다. 단순 Interface, 화면 Route, Sample 문자열만으로 완료 처리하지 않는다.</x:v>
      </x:c>
      <x:c r="H467" s="12" t="str">
        <x:v>JavaDoc generation, OpenAPI snapshot, link/command execution, package scan으로 정상·오류·경계·부분 실패·재시도/복구·권한·감사·다중 인스턴스 영향까지 자동 Test와 최신 SHA Evidence로 검증한다.</x:v>
      </x:c>
      <x:c r="I467" s="12" t="str"/>
      <x:c r="J467" s="12" t="str">
        <x:v>all</x:v>
      </x:c>
      <x:c r="K467" s="12" t="str"/>
      <x:c r="L467" s="12" t="str"/>
    </x:row>
    <x:row r="468">
      <x:c r="A468" s="12" t="str">
        <x:v>CPF-QA-D03-DOC-015</x:v>
      </x:c>
      <x:c r="B468" s="12" t="str">
        <x:v>DOC</x:v>
      </x:c>
      <x:c r="C468" s="12" t="str">
        <x:v>WP12</x:v>
      </x:c>
      <x:c r="D468" s="12" t="str">
        <x:v>부분 구현</x:v>
      </x:c>
      <x:c r="E468" s="12" t="str">
        <x:v>P1</x:v>
      </x:c>
      <x:c r="F468" s="12" t="str">
        <x:v>OpenAPI 오류 예시</x:v>
      </x:c>
      <x:c r="G468" s="12" t="str">
        <x:v>문서·Source 품질 Gate로 **OpenAPI 오류 예시** 기능을 제품 계약·기본 구현·실제 Consumer·운영 기능까지 연결한다. 단순 Interface, 화면 Route, Sample 문자열만으로 완료 처리하지 않는다.</x:v>
      </x:c>
      <x:c r="H468" s="12" t="str">
        <x:v>JavaDoc generation, OpenAPI snapshot, link/command execution, package scan으로 정상·오류·경계·부분 실패·재시도/복구·권한·감사·다중 인스턴스 영향까지 자동 Test와 최신 SHA Evidence로 검증한다.</x:v>
      </x:c>
      <x:c r="I468" s="12" t="str"/>
      <x:c r="J468" s="12" t="str">
        <x:v>all</x:v>
      </x:c>
      <x:c r="K468" s="12" t="str"/>
      <x:c r="L468" s="12" t="str"/>
    </x:row>
    <x:row r="469">
      <x:c r="A469" s="12" t="str">
        <x:v>CPF-QA-D03-DOC-016</x:v>
      </x:c>
      <x:c r="B469" s="12" t="str">
        <x:v>DOC</x:v>
      </x:c>
      <x:c r="C469" s="12" t="str">
        <x:v>WP12</x:v>
      </x:c>
      <x:c r="D469" s="12" t="str">
        <x:v>부분 구현</x:v>
      </x:c>
      <x:c r="E469" s="12" t="str">
        <x:v>P1</x:v>
      </x:c>
      <x:c r="F469" s="12" t="str">
        <x:v>OpenAPI 권한·상태코드</x:v>
      </x:c>
      <x:c r="G469" s="12" t="str">
        <x:v>문서·Source 품질 Gate로 **OpenAPI 권한·상태코드** 기능을 제품 계약·기본 구현·실제 Consumer·운영 기능까지 연결한다. 단순 Interface, 화면 Route, Sample 문자열만으로 완료 처리하지 않는다.</x:v>
      </x:c>
      <x:c r="H469" s="12" t="str">
        <x:v>JavaDoc generation, OpenAPI snapshot, link/command execution, package scan으로 정상·오류·경계·부분 실패·재시도/복구·권한·감사·다중 인스턴스 영향까지 자동 Test와 최신 SHA Evidence로 검증한다.</x:v>
      </x:c>
      <x:c r="I469" s="12" t="str"/>
      <x:c r="J469" s="12" t="str">
        <x:v>all</x:v>
      </x:c>
      <x:c r="K469" s="12" t="str"/>
      <x:c r="L469" s="12" t="str"/>
    </x:row>
    <x:row r="470">
      <x:c r="A470" s="12" t="str">
        <x:v>CPF-QA-D03-DOC-017</x:v>
      </x:c>
      <x:c r="B470" s="12" t="str">
        <x:v>DOC</x:v>
      </x:c>
      <x:c r="C470" s="12" t="str">
        <x:v>WP12</x:v>
      </x:c>
      <x:c r="D470" s="12" t="str">
        <x:v>부분 구현</x:v>
      </x:c>
      <x:c r="E470" s="12" t="str">
        <x:v>P1</x:v>
      </x:c>
      <x:c r="F470" s="12" t="str">
        <x:v>EDU Guide 실행 명령</x:v>
      </x:c>
      <x:c r="G470" s="12" t="str">
        <x:v>문서·Source 품질 Gate로 **EDU Guide 실행 명령** 기능을 제품 계약·기본 구현·실제 Consumer·운영 기능까지 연결한다. 단순 Interface, 화면 Route, Sample 문자열만으로 완료 처리하지 않는다.</x:v>
      </x:c>
      <x:c r="H470" s="12" t="str">
        <x:v>JavaDoc generation, OpenAPI snapshot, link/command execution, package scan으로 정상·오류·경계·부분 실패·재시도/복구·권한·감사·다중 인스턴스 영향까지 자동 Test와 최신 SHA Evidence로 검증한다.</x:v>
      </x:c>
      <x:c r="I470" s="12" t="str"/>
      <x:c r="J470" s="12" t="str">
        <x:v>all</x:v>
      </x:c>
      <x:c r="K470" s="12" t="str"/>
      <x:c r="L470" s="12" t="str"/>
    </x:row>
    <x:row r="471">
      <x:c r="A471" s="12" t="str">
        <x:v>CPF-QA-D03-DOC-018</x:v>
      </x:c>
      <x:c r="B471" s="12" t="str">
        <x:v>DOC</x:v>
      </x:c>
      <x:c r="C471" s="12" t="str">
        <x:v>WP12</x:v>
      </x:c>
      <x:c r="D471" s="12" t="str">
        <x:v>부분 구현</x:v>
      </x:c>
      <x:c r="E471" s="12" t="str">
        <x:v>P1</x:v>
      </x:c>
      <x:c r="F471" s="12" t="str">
        <x:v>EDU Sample Data·예상 결과</x:v>
      </x:c>
      <x:c r="G471" s="12" t="str">
        <x:v>문서·Source 품질 Gate로 **EDU Sample Data·예상 결과** 기능을 제품 계약·기본 구현·실제 Consumer·운영 기능까지 연결한다. 단순 Interface, 화면 Route, Sample 문자열만으로 완료 처리하지 않는다.</x:v>
      </x:c>
      <x:c r="H471" s="12" t="str">
        <x:v>JavaDoc generation, OpenAPI snapshot, link/command execution, package scan으로 정상·오류·경계·부분 실패·재시도/복구·권한·감사·다중 인스턴스 영향까지 자동 Test와 최신 SHA Evidence로 검증한다.</x:v>
      </x:c>
      <x:c r="I471" s="12" t="str"/>
      <x:c r="J471" s="12" t="str">
        <x:v>all</x:v>
      </x:c>
      <x:c r="K471" s="12" t="str"/>
      <x:c r="L471" s="12" t="str"/>
    </x:row>
    <x:row r="472">
      <x:c r="A472" s="12" t="str">
        <x:v>CPF-QA-D03-DOC-019</x:v>
      </x:c>
      <x:c r="B472" s="12" t="str">
        <x:v>DOC</x:v>
      </x:c>
      <x:c r="C472" s="12" t="str">
        <x:v>WP12</x:v>
      </x:c>
      <x:c r="D472" s="12" t="str">
        <x:v>부분 구현</x:v>
      </x:c>
      <x:c r="E472" s="12" t="str">
        <x:v>P1</x:v>
      </x:c>
      <x:c r="F472" s="12" t="str">
        <x:v>장애·복구 Guide</x:v>
      </x:c>
      <x:c r="G472" s="12" t="str">
        <x:v>문서·Source 품질 Gate로 **장애·복구 Guide** 기능을 제품 계약·기본 구현·실제 Consumer·운영 기능까지 연결한다. 단순 Interface, 화면 Route, Sample 문자열만으로 완료 처리하지 않는다.</x:v>
      </x:c>
      <x:c r="H472" s="12" t="str">
        <x:v>JavaDoc generation, OpenAPI snapshot, link/command execution, package scan으로 정상·오류·경계·부분 실패·재시도/복구·권한·감사·다중 인스턴스 영향까지 자동 Test와 최신 SHA Evidence로 검증한다.</x:v>
      </x:c>
      <x:c r="I472" s="12" t="str"/>
      <x:c r="J472" s="12" t="str">
        <x:v>all</x:v>
      </x:c>
      <x:c r="K472" s="12" t="str"/>
      <x:c r="L472" s="12" t="str"/>
    </x:row>
    <x:row r="473">
      <x:c r="A473" s="12" t="str">
        <x:v>CPF-QA-D03-DOC-020</x:v>
      </x:c>
      <x:c r="B473" s="12" t="str">
        <x:v>DOC</x:v>
      </x:c>
      <x:c r="C473" s="12" t="str">
        <x:v>WP12</x:v>
      </x:c>
      <x:c r="D473" s="12" t="str">
        <x:v>부분 구현</x:v>
      </x:c>
      <x:c r="E473" s="12" t="str">
        <x:v>P1</x:v>
      </x:c>
      <x:c r="F473" s="12" t="str">
        <x:v>Requirement↔Source↔Test↔EDU Matrix</x:v>
      </x:c>
      <x:c r="G473" s="12" t="str">
        <x:v>문서·Source 품질 Gate로 **Requirement↔Source↔Test↔EDU Matrix** 기능을 제품 계약·기본 구현·실제 Consumer·운영 기능까지 연결한다. 단순 Interface, 화면 Route, Sample 문자열만으로 완료 처리하지 않는다.</x:v>
      </x:c>
      <x:c r="H473" s="12" t="str">
        <x:v>JavaDoc generation, OpenAPI snapshot, link/command execution, package scan으로 정상·오류·경계·부분 실패·재시도/복구·권한·감사·다중 인스턴스 영향까지 자동 Test와 최신 SHA Evidence로 검증한다.</x:v>
      </x:c>
      <x:c r="I473" s="12" t="str"/>
      <x:c r="J473" s="12" t="str">
        <x:v>all</x:v>
      </x:c>
      <x:c r="K473" s="12" t="str"/>
      <x:c r="L473" s="12" t="str"/>
    </x:row>
    <x:row r="474">
      <x:c r="A474" s="12" t="str">
        <x:v>CPF-QA-D03-DOC-021</x:v>
      </x:c>
      <x:c r="B474" s="12" t="str">
        <x:v>DOC</x:v>
      </x:c>
      <x:c r="C474" s="12" t="str">
        <x:v>WP12</x:v>
      </x:c>
      <x:c r="D474" s="12" t="str">
        <x:v>부분 구현</x:v>
      </x:c>
      <x:c r="E474" s="12" t="str">
        <x:v>P1</x:v>
      </x:c>
      <x:c r="F474" s="12" t="str">
        <x:v>Source 기능 Markdown/HTML Catalog</x:v>
      </x:c>
      <x:c r="G474" s="12" t="str">
        <x:v>문서·Source 품질 Gate로 **Source 기능 Markdown/HTML Catalog** 기능을 제품 계약·기본 구현·실제 Consumer·운영 기능까지 연결한다. 단순 Interface, 화면 Route, Sample 문자열만으로 완료 처리하지 않는다.</x:v>
      </x:c>
      <x:c r="H474" s="12" t="str">
        <x:v>JavaDoc generation, OpenAPI snapshot, link/command execution, package scan으로 정상·오류·경계·부분 실패·재시도/복구·권한·감사·다중 인스턴스 영향까지 자동 Test와 최신 SHA Evidence로 검증한다.</x:v>
      </x:c>
      <x:c r="I474" s="12" t="str"/>
      <x:c r="J474" s="12" t="str">
        <x:v>all</x:v>
      </x:c>
      <x:c r="K474" s="12" t="str"/>
      <x:c r="L474" s="12" t="str"/>
    </x:row>
    <x:row r="475">
      <x:c r="A475" s="12" t="str">
        <x:v>CPF-QA-D03-DOC-022</x:v>
      </x:c>
      <x:c r="B475" s="12" t="str">
        <x:v>DOC</x:v>
      </x:c>
      <x:c r="C475" s="12" t="str">
        <x:v>WP12</x:v>
      </x:c>
      <x:c r="D475" s="12" t="str">
        <x:v>부분 구현</x:v>
      </x:c>
      <x:c r="E475" s="12" t="str">
        <x:v>P1</x:v>
      </x:c>
      <x:c r="F475" s="12" t="str">
        <x:v>JavaDoc·Swagger·Guide Drift Gate</x:v>
      </x:c>
      <x:c r="G475" s="12" t="str">
        <x:v>문서·Source 품질 Gate로 **JavaDoc·Swagger·Guide Drift Gate** 기능을 제품 계약·기본 구현·실제 Consumer·운영 기능까지 연결한다. 단순 Interface, 화면 Route, Sample 문자열만으로 완료 처리하지 않는다.</x:v>
      </x:c>
      <x:c r="H475" s="12" t="str">
        <x:v>JavaDoc generation, OpenAPI snapshot, link/command execution, package scan으로 정상·오류·경계·부분 실패·재시도/복구·권한·감사·다중 인스턴스 영향까지 자동 Test와 최신 SHA Evidence로 검증한다.</x:v>
      </x:c>
      <x:c r="I475" s="12" t="str"/>
      <x:c r="J475" s="12" t="str">
        <x:v>all</x:v>
      </x:c>
      <x:c r="K475" s="12" t="str"/>
      <x:c r="L475" s="12" t="str"/>
    </x:row>
    <x:row r="476">
      <x:c r="A476" s="12" t="str">
        <x:v>CPF-QA-D03-DOC-023</x:v>
      </x:c>
      <x:c r="B476" s="12" t="str">
        <x:v>DOC</x:v>
      </x:c>
      <x:c r="C476" s="12" t="str">
        <x:v>WP12</x:v>
      </x:c>
      <x:c r="D476" s="12" t="str">
        <x:v>부분 구현</x:v>
      </x:c>
      <x:c r="E476" s="12" t="str">
        <x:v>P1</x:v>
      </x:c>
      <x:c r="F476" s="12" t="str">
        <x:v>외부 Runtime Font/CDN 의존 금지</x:v>
      </x:c>
      <x:c r="G476" s="12" t="str">
        <x:v>문서·Source 품질 Gate로 **외부 Runtime Font/CDN 의존 금지** 기능을 제품 계약·기본 구현·실제 Consumer·운영 기능까지 연결한다. 단순 Interface, 화면 Route, Sample 문자열만으로 완료 처리하지 않는다.</x:v>
      </x:c>
      <x:c r="H476" s="12" t="str">
        <x:v>JavaDoc generation, OpenAPI snapshot, link/command execution, package scan으로 정상·오류·경계·부분 실패·재시도/복구·권한·감사·다중 인스턴스 영향까지 자동 Test와 최신 SHA Evidence로 검증한다.</x:v>
      </x:c>
      <x:c r="I476" s="12" t="str"/>
      <x:c r="J476" s="12" t="str">
        <x:v>all</x:v>
      </x:c>
      <x:c r="K476" s="12" t="str"/>
      <x:c r="L476" s="12" t="str"/>
    </x:row>
    <x:row r="477">
      <x:c r="A477" s="12" t="str">
        <x:v>CPF-QA-D03-DOC-024</x:v>
      </x:c>
      <x:c r="B477" s="12" t="str">
        <x:v>DOC</x:v>
      </x:c>
      <x:c r="C477" s="12" t="str">
        <x:v>WP12</x:v>
      </x:c>
      <x:c r="D477" s="12" t="str">
        <x:v>부분 구현</x:v>
      </x:c>
      <x:c r="E477" s="12" t="str">
        <x:v>P1</x:v>
      </x:c>
      <x:c r="F477" s="12" t="str">
        <x:v>IDE Plugin 개발 제외와 기본 IDE 호환</x:v>
      </x:c>
      <x:c r="G477" s="12" t="str">
        <x:v>문서·Source 품질 Gate로 **IDE Plugin 개발 제외와 기본 IDE 호환** 기능을 제품 계약·기본 구현·실제 Consumer·운영 기능까지 연결한다. 단순 Interface, 화면 Route, Sample 문자열만으로 완료 처리하지 않는다.</x:v>
      </x:c>
      <x:c r="H477" s="12" t="str">
        <x:v>JavaDoc generation, OpenAPI snapshot, link/command execution, package scan으로 정상·오류·경계·부분 실패·재시도/복구·권한·감사·다중 인스턴스 영향까지 자동 Test와 최신 SHA Evidence로 검증한다.</x:v>
      </x:c>
      <x:c r="I477" s="12" t="str"/>
      <x:c r="J477" s="12" t="str">
        <x:v>all</x:v>
      </x:c>
      <x:c r="K477" s="12" t="str"/>
      <x:c r="L477" s="12" t="str"/>
    </x:row>
    <x:row r="478">
      <x:c r="A478" s="12" t="str">
        <x:v>CPF-QA-D03-DBVAL-001</x:v>
      </x:c>
      <x:c r="B478" s="12" t="str">
        <x:v>DBVAL</x:v>
      </x:c>
      <x:c r="C478" s="12" t="str">
        <x:v>WP13</x:v>
      </x:c>
      <x:c r="D478" s="12" t="str">
        <x:v>미검증</x:v>
      </x:c>
      <x:c r="E478" s="12" t="str">
        <x:v>P0</x:v>
      </x:c>
      <x:c r="F478" s="12" t="str">
        <x:v>MariaDB Fresh Install 실제 검증</x:v>
      </x:c>
      <x:c r="G478" s="12" t="str">
        <x:v>현재 검증 환경 정책에 따라 **MariaDB Fresh Install 실제 검증** 기능을 제품 계약·기본 구현·실제 Consumer·운영 기능까지 연결한다. 단순 Interface, 화면 Route, Sample 문자열만으로 완료 처리하지 않는다.</x:v>
      </x:c>
      <x:c r="H478" s="12" t="str">
        <x:v>실행 가능한 WAS·MariaDB는 실제 실행하고 미설치 Provider는 구현/정적/단위/Contract/Simulator로 정상·오류·경계·부분 실패·재시도/복구·권한·감사·다중 인스턴스 영향까지 자동 Test와 최신 SHA Evidence로 검증한다.</x:v>
      </x:c>
      <x:c r="I478" s="12" t="str"/>
      <x:c r="J478" s="12" t="str">
        <x:v>WP00</x:v>
      </x:c>
      <x:c r="K478" s="12" t="str"/>
      <x:c r="L478" s="12" t="str">
        <x:v>WAS+MariaDB; others deferred</x:v>
      </x:c>
    </x:row>
    <x:row r="479">
      <x:c r="A479" s="12" t="str">
        <x:v>CPF-QA-D03-DBVAL-002</x:v>
      </x:c>
      <x:c r="B479" s="12" t="str">
        <x:v>DBVAL</x:v>
      </x:c>
      <x:c r="C479" s="12" t="str">
        <x:v>WP13</x:v>
      </x:c>
      <x:c r="D479" s="12" t="str">
        <x:v>미검증</x:v>
      </x:c>
      <x:c r="E479" s="12" t="str">
        <x:v>P0</x:v>
      </x:c>
      <x:c r="F479" s="12" t="str">
        <x:v>MariaDB Migration 실제 검증</x:v>
      </x:c>
      <x:c r="G479" s="12" t="str">
        <x:v>현재 검증 환경 정책에 따라 **MariaDB Migration 실제 검증** 기능을 제품 계약·기본 구현·실제 Consumer·운영 기능까지 연결한다. 단순 Interface, 화면 Route, Sample 문자열만으로 완료 처리하지 않는다.</x:v>
      </x:c>
      <x:c r="H479" s="12" t="str">
        <x:v>실행 가능한 WAS·MariaDB는 실제 실행하고 미설치 Provider는 구현/정적/단위/Contract/Simulator로 정상·오류·경계·부분 실패·재시도/복구·권한·감사·다중 인스턴스 영향까지 자동 Test와 최신 SHA Evidence로 검증한다.</x:v>
      </x:c>
      <x:c r="I479" s="12" t="str"/>
      <x:c r="J479" s="12" t="str">
        <x:v>WP00</x:v>
      </x:c>
      <x:c r="K479" s="12" t="str"/>
      <x:c r="L479" s="12" t="str">
        <x:v>WAS+MariaDB; others deferred</x:v>
      </x:c>
    </x:row>
    <x:row r="480">
      <x:c r="A480" s="12" t="str">
        <x:v>CPF-QA-D03-DBVAL-003</x:v>
      </x:c>
      <x:c r="B480" s="12" t="str">
        <x:v>DBVAL</x:v>
      </x:c>
      <x:c r="C480" s="12" t="str">
        <x:v>WP13</x:v>
      </x:c>
      <x:c r="D480" s="12" t="str">
        <x:v>미검증</x:v>
      </x:c>
      <x:c r="E480" s="12" t="str">
        <x:v>P0</x:v>
      </x:c>
      <x:c r="F480" s="12" t="str">
        <x:v>MariaDB Upgrade 실제 검증</x:v>
      </x:c>
      <x:c r="G480" s="12" t="str">
        <x:v>현재 검증 환경 정책에 따라 **MariaDB Upgrade 실제 검증** 기능을 제품 계약·기본 구현·실제 Consumer·운영 기능까지 연결한다. 단순 Interface, 화면 Route, Sample 문자열만으로 완료 처리하지 않는다.</x:v>
      </x:c>
      <x:c r="H480" s="12" t="str">
        <x:v>실행 가능한 WAS·MariaDB는 실제 실행하고 미설치 Provider는 구현/정적/단위/Contract/Simulator로 정상·오류·경계·부분 실패·재시도/복구·권한·감사·다중 인스턴스 영향까지 자동 Test와 최신 SHA Evidence로 검증한다.</x:v>
      </x:c>
      <x:c r="I480" s="12" t="str"/>
      <x:c r="J480" s="12" t="str">
        <x:v>WP00</x:v>
      </x:c>
      <x:c r="K480" s="12" t="str"/>
      <x:c r="L480" s="12" t="str">
        <x:v>WAS+MariaDB; others deferred</x:v>
      </x:c>
    </x:row>
    <x:row r="481">
      <x:c r="A481" s="12" t="str">
        <x:v>CPF-QA-D03-DBVAL-004</x:v>
      </x:c>
      <x:c r="B481" s="12" t="str">
        <x:v>DBVAL</x:v>
      </x:c>
      <x:c r="C481" s="12" t="str">
        <x:v>WP13</x:v>
      </x:c>
      <x:c r="D481" s="12" t="str">
        <x:v>미검증</x:v>
      </x:c>
      <x:c r="E481" s="12" t="str">
        <x:v>P0</x:v>
      </x:c>
      <x:c r="F481" s="12" t="str">
        <x:v>MariaDB Rollback/Forward Recovery 실제 검증</x:v>
      </x:c>
      <x:c r="G481" s="12" t="str">
        <x:v>현재 검증 환경 정책에 따라 **MariaDB Rollback/Forward Recovery 실제 검증** 기능을 제품 계약·기본 구현·실제 Consumer·운영 기능까지 연결한다. 단순 Interface, 화면 Route, Sample 문자열만으로 완료 처리하지 않는다.</x:v>
      </x:c>
      <x:c r="H481" s="12" t="str">
        <x:v>실행 가능한 WAS·MariaDB는 실제 실행하고 미설치 Provider는 구현/정적/단위/Contract/Simulator로 정상·오류·경계·부분 실패·재시도/복구·권한·감사·다중 인스턴스 영향까지 자동 Test와 최신 SHA Evidence로 검증한다.</x:v>
      </x:c>
      <x:c r="I481" s="12" t="str"/>
      <x:c r="J481" s="12" t="str">
        <x:v>WP00</x:v>
      </x:c>
      <x:c r="K481" s="12" t="str"/>
      <x:c r="L481" s="12" t="str">
        <x:v>WAS+MariaDB; others deferred</x:v>
      </x:c>
    </x:row>
    <x:row r="482">
      <x:c r="A482" s="12" t="str">
        <x:v>CPF-QA-D03-DBVAL-005</x:v>
      </x:c>
      <x:c r="B482" s="12" t="str">
        <x:v>DBVAL</x:v>
      </x:c>
      <x:c r="C482" s="12" t="str">
        <x:v>WP13</x:v>
      </x:c>
      <x:c r="D482" s="12" t="str">
        <x:v>미검증</x:v>
      </x:c>
      <x:c r="E482" s="12" t="str">
        <x:v>P0</x:v>
      </x:c>
      <x:c r="F482" s="12" t="str">
        <x:v>MariaDB Runtime Query 실제 검증</x:v>
      </x:c>
      <x:c r="G482" s="12" t="str">
        <x:v>현재 검증 환경 정책에 따라 **MariaDB Runtime Query 실제 검증** 기능을 제품 계약·기본 구현·실제 Consumer·운영 기능까지 연결한다. 단순 Interface, 화면 Route, Sample 문자열만으로 완료 처리하지 않는다.</x:v>
      </x:c>
      <x:c r="H482" s="12" t="str">
        <x:v>실행 가능한 WAS·MariaDB는 실제 실행하고 미설치 Provider는 구현/정적/단위/Contract/Simulator로 정상·오류·경계·부분 실패·재시도/복구·권한·감사·다중 인스턴스 영향까지 자동 Test와 최신 SHA Evidence로 검증한다.</x:v>
      </x:c>
      <x:c r="I482" s="12" t="str"/>
      <x:c r="J482" s="12" t="str">
        <x:v>WP00</x:v>
      </x:c>
      <x:c r="K482" s="12" t="str"/>
      <x:c r="L482" s="12" t="str">
        <x:v>WAS+MariaDB; others deferred</x:v>
      </x:c>
    </x:row>
    <x:row r="483">
      <x:c r="A483" s="12" t="str">
        <x:v>CPF-QA-D03-DBVAL-006</x:v>
      </x:c>
      <x:c r="B483" s="12" t="str">
        <x:v>DBVAL</x:v>
      </x:c>
      <x:c r="C483" s="12" t="str">
        <x:v>WP13</x:v>
      </x:c>
      <x:c r="D483" s="12" t="str">
        <x:v>미검증</x:v>
      </x:c>
      <x:c r="E483" s="12" t="str">
        <x:v>P0</x:v>
      </x:c>
      <x:c r="F483" s="12" t="str">
        <x:v>MariaDB Drift·Checksum Negative Test</x:v>
      </x:c>
      <x:c r="G483" s="12" t="str">
        <x:v>현재 검증 환경 정책에 따라 **MariaDB Drift·Checksum Negative Test** 기능을 제품 계약·기본 구현·실제 Consumer·운영 기능까지 연결한다. 단순 Interface, 화면 Route, Sample 문자열만으로 완료 처리하지 않는다.</x:v>
      </x:c>
      <x:c r="H483" s="12" t="str">
        <x:v>실행 가능한 WAS·MariaDB는 실제 실행하고 미설치 Provider는 구현/정적/단위/Contract/Simulator로 정상·오류·경계·부분 실패·재시도/복구·권한·감사·다중 인스턴스 영향까지 자동 Test와 최신 SHA Evidence로 검증한다.</x:v>
      </x:c>
      <x:c r="I483" s="12" t="str"/>
      <x:c r="J483" s="12" t="str">
        <x:v>WP00</x:v>
      </x:c>
      <x:c r="K483" s="12" t="str"/>
      <x:c r="L483" s="12" t="str">
        <x:v>WAS+MariaDB; others deferred</x:v>
      </x:c>
    </x:row>
    <x:row r="484">
      <x:c r="A484" s="12" t="str">
        <x:v>CPF-QA-D03-DBVAL-007</x:v>
      </x:c>
      <x:c r="B484" s="12" t="str">
        <x:v>DBVAL</x:v>
      </x:c>
      <x:c r="C484" s="12" t="str">
        <x:v>WP13</x:v>
      </x:c>
      <x:c r="D484" s="12" t="str">
        <x:v>미검증</x:v>
      </x:c>
      <x:c r="E484" s="12" t="str">
        <x:v>P0</x:v>
      </x:c>
      <x:c r="F484" s="12" t="str">
        <x:v>PostgreSQL Canonical·Migration·Rollback 정적 parity</x:v>
      </x:c>
      <x:c r="G484" s="12" t="str">
        <x:v>현재 검증 환경 정책에 따라 **PostgreSQL Canonical·Migration·Rollback 정적 parity** 기능을 제품 계약·기본 구현·실제 Consumer·운영 기능까지 연결한다. 단순 Interface, 화면 Route, Sample 문자열만으로 완료 처리하지 않는다.</x:v>
      </x:c>
      <x:c r="H484" s="12" t="str">
        <x:v>실행 가능한 WAS·MariaDB는 실제 실행하고 미설치 Provider는 구현/정적/단위/Contract/Simulator로 정상·오류·경계·부분 실패·재시도/복구·권한·감사·다중 인스턴스 영향까지 자동 Test와 최신 SHA Evidence로 검증한다.</x:v>
      </x:c>
      <x:c r="I484" s="12" t="str"/>
      <x:c r="J484" s="12" t="str">
        <x:v>WP00</x:v>
      </x:c>
      <x:c r="K484" s="12" t="str"/>
      <x:c r="L484" s="12" t="str">
        <x:v>WAS+MariaDB; others deferred</x:v>
      </x:c>
    </x:row>
    <x:row r="485">
      <x:c r="A485" s="12" t="str">
        <x:v>CPF-QA-D03-DBVAL-008</x:v>
      </x:c>
      <x:c r="B485" s="12" t="str">
        <x:v>DBVAL</x:v>
      </x:c>
      <x:c r="C485" s="12" t="str">
        <x:v>WP13</x:v>
      </x:c>
      <x:c r="D485" s="12" t="str">
        <x:v>미검증</x:v>
      </x:c>
      <x:c r="E485" s="12" t="str">
        <x:v>P0</x:v>
      </x:c>
      <x:c r="F485" s="12" t="str">
        <x:v>Oracle Canonical·Migration·Rollback 정적 parity</x:v>
      </x:c>
      <x:c r="G485" s="12" t="str">
        <x:v>현재 검증 환경 정책에 따라 **Oracle Canonical·Migration·Rollback 정적 parity** 기능을 제품 계약·기본 구현·실제 Consumer·운영 기능까지 연결한다. 단순 Interface, 화면 Route, Sample 문자열만으로 완료 처리하지 않는다.</x:v>
      </x:c>
      <x:c r="H485" s="12" t="str">
        <x:v>실행 가능한 WAS·MariaDB는 실제 실행하고 미설치 Provider는 구현/정적/단위/Contract/Simulator로 정상·오류·경계·부분 실패·재시도/복구·권한·감사·다중 인스턴스 영향까지 자동 Test와 최신 SHA Evidence로 검증한다.</x:v>
      </x:c>
      <x:c r="I485" s="12" t="str"/>
      <x:c r="J485" s="12" t="str">
        <x:v>WP00</x:v>
      </x:c>
      <x:c r="K485" s="12" t="str"/>
      <x:c r="L485" s="12" t="str">
        <x:v>WAS+MariaDB; others deferred</x:v>
      </x:c>
    </x:row>
    <x:row r="486">
      <x:c r="A486" s="12" t="str">
        <x:v>CPF-QA-D03-DBVAL-009</x:v>
      </x:c>
      <x:c r="B486" s="12" t="str">
        <x:v>DBVAL</x:v>
      </x:c>
      <x:c r="C486" s="12" t="str">
        <x:v>WP13</x:v>
      </x:c>
      <x:c r="D486" s="12" t="str">
        <x:v>미검증</x:v>
      </x:c>
      <x:c r="E486" s="12" t="str">
        <x:v>P0</x:v>
      </x:c>
      <x:c r="F486" s="12" t="str">
        <x:v>PostgreSQL 실Runtime 미검증 명시</x:v>
      </x:c>
      <x:c r="G486" s="12" t="str">
        <x:v>현재 검증 환경 정책에 따라 **PostgreSQL 실Runtime 미검증 명시** 기능을 제품 계약·기본 구현·실제 Consumer·운영 기능까지 연결한다. 단순 Interface, 화면 Route, Sample 문자열만으로 완료 처리하지 않는다.</x:v>
      </x:c>
      <x:c r="H486" s="12" t="str">
        <x:v>실행 가능한 WAS·MariaDB는 실제 실행하고 미설치 Provider는 구현/정적/단위/Contract/Simulator로 정상·오류·경계·부분 실패·재시도/복구·권한·감사·다중 인스턴스 영향까지 자동 Test와 최신 SHA Evidence로 검증한다.</x:v>
      </x:c>
      <x:c r="I486" s="12" t="str"/>
      <x:c r="J486" s="12" t="str">
        <x:v>WP00</x:v>
      </x:c>
      <x:c r="K486" s="12" t="str"/>
      <x:c r="L486" s="12" t="str">
        <x:v>WAS+MariaDB; others deferred</x:v>
      </x:c>
    </x:row>
    <x:row r="487">
      <x:c r="A487" s="12" t="str">
        <x:v>CPF-QA-D03-DBVAL-010</x:v>
      </x:c>
      <x:c r="B487" s="12" t="str">
        <x:v>DBVAL</x:v>
      </x:c>
      <x:c r="C487" s="12" t="str">
        <x:v>WP13</x:v>
      </x:c>
      <x:c r="D487" s="12" t="str">
        <x:v>미검증</x:v>
      </x:c>
      <x:c r="E487" s="12" t="str">
        <x:v>P0</x:v>
      </x:c>
      <x:c r="F487" s="12" t="str">
        <x:v>Oracle 실Runtime 미검증 명시</x:v>
      </x:c>
      <x:c r="G487" s="12" t="str">
        <x:v>현재 검증 환경 정책에 따라 **Oracle 실Runtime 미검증 명시** 기능을 제품 계약·기본 구현·실제 Consumer·운영 기능까지 연결한다. 단순 Interface, 화면 Route, Sample 문자열만으로 완료 처리하지 않는다.</x:v>
      </x:c>
      <x:c r="H487" s="12" t="str">
        <x:v>실행 가능한 WAS·MariaDB는 실제 실행하고 미설치 Provider는 구현/정적/단위/Contract/Simulator로 정상·오류·경계·부분 실패·재시도/복구·권한·감사·다중 인스턴스 영향까지 자동 Test와 최신 SHA Evidence로 검증한다.</x:v>
      </x:c>
      <x:c r="I487" s="12" t="str"/>
      <x:c r="J487" s="12" t="str">
        <x:v>WP00</x:v>
      </x:c>
      <x:c r="K487" s="12" t="str"/>
      <x:c r="L487" s="12" t="str">
        <x:v>WAS+MariaDB; others deferred</x:v>
      </x:c>
    </x:row>
    <x:row r="488">
      <x:c r="A488" s="12" t="str">
        <x:v>CPF-QA-D03-DBVAL-011</x:v>
      </x:c>
      <x:c r="B488" s="12" t="str">
        <x:v>DBVAL</x:v>
      </x:c>
      <x:c r="C488" s="12" t="str">
        <x:v>WP13</x:v>
      </x:c>
      <x:c r="D488" s="12" t="str">
        <x:v>미검증</x:v>
      </x:c>
      <x:c r="E488" s="12" t="str">
        <x:v>P0</x:v>
      </x:c>
      <x:c r="F488" s="12" t="str">
        <x:v>Redis 구현·Contract·Fake Test</x:v>
      </x:c>
      <x:c r="G488" s="12" t="str">
        <x:v>현재 검증 환경 정책에 따라 **Redis 구현·Contract·Fake Test** 기능을 제품 계약·기본 구현·실제 Consumer·운영 기능까지 연결한다. 단순 Interface, 화면 Route, Sample 문자열만으로 완료 처리하지 않는다.</x:v>
      </x:c>
      <x:c r="H488" s="12" t="str">
        <x:v>실행 가능한 WAS·MariaDB는 실제 실행하고 미설치 Provider는 구현/정적/단위/Contract/Simulator로 정상·오류·경계·부분 실패·재시도/복구·권한·감사·다중 인스턴스 영향까지 자동 Test와 최신 SHA Evidence로 검증한다.</x:v>
      </x:c>
      <x:c r="I488" s="12" t="str"/>
      <x:c r="J488" s="12" t="str">
        <x:v>WP00</x:v>
      </x:c>
      <x:c r="K488" s="12" t="str"/>
      <x:c r="L488" s="12" t="str">
        <x:v>WAS+MariaDB; others deferred</x:v>
      </x:c>
    </x:row>
    <x:row r="489">
      <x:c r="A489" s="12" t="str">
        <x:v>CPF-QA-D03-DBVAL-012</x:v>
      </x:c>
      <x:c r="B489" s="12" t="str">
        <x:v>DBVAL</x:v>
      </x:c>
      <x:c r="C489" s="12" t="str">
        <x:v>WP13</x:v>
      </x:c>
      <x:c r="D489" s="12" t="str">
        <x:v>미검증</x:v>
      </x:c>
      <x:c r="E489" s="12" t="str">
        <x:v>P0</x:v>
      </x:c>
      <x:c r="F489" s="12" t="str">
        <x:v>Redis 실Runtime 미검증 명시</x:v>
      </x:c>
      <x:c r="G489" s="12" t="str">
        <x:v>현재 검증 환경 정책에 따라 **Redis 실Runtime 미검증 명시** 기능을 제품 계약·기본 구현·실제 Consumer·운영 기능까지 연결한다. 단순 Interface, 화면 Route, Sample 문자열만으로 완료 처리하지 않는다.</x:v>
      </x:c>
      <x:c r="H489" s="12" t="str">
        <x:v>실행 가능한 WAS·MariaDB는 실제 실행하고 미설치 Provider는 구현/정적/단위/Contract/Simulator로 정상·오류·경계·부분 실패·재시도/복구·권한·감사·다중 인스턴스 영향까지 자동 Test와 최신 SHA Evidence로 검증한다.</x:v>
      </x:c>
      <x:c r="I489" s="12" t="str"/>
      <x:c r="J489" s="12" t="str">
        <x:v>WP00</x:v>
      </x:c>
      <x:c r="K489" s="12" t="str"/>
      <x:c r="L489" s="12" t="str">
        <x:v>WAS+MariaDB; others deferred</x:v>
      </x:c>
    </x:row>
    <x:row r="490">
      <x:c r="A490" s="12" t="str">
        <x:v>CPF-QA-D03-DBVAL-013</x:v>
      </x:c>
      <x:c r="B490" s="12" t="str">
        <x:v>DBVAL</x:v>
      </x:c>
      <x:c r="C490" s="12" t="str">
        <x:v>WP13</x:v>
      </x:c>
      <x:c r="D490" s="12" t="str">
        <x:v>미검증</x:v>
      </x:c>
      <x:c r="E490" s="12" t="str">
        <x:v>P0</x:v>
      </x:c>
      <x:c r="F490" s="12" t="str">
        <x:v>Kafka 구현·Contract·Simulator Test</x:v>
      </x:c>
      <x:c r="G490" s="12" t="str">
        <x:v>현재 검증 환경 정책에 따라 **Kafka 구현·Contract·Simulator Test** 기능을 제품 계약·기본 구현·실제 Consumer·운영 기능까지 연결한다. 단순 Interface, 화면 Route, Sample 문자열만으로 완료 처리하지 않는다.</x:v>
      </x:c>
      <x:c r="H490" s="12" t="str">
        <x:v>실행 가능한 WAS·MariaDB는 실제 실행하고 미설치 Provider는 구현/정적/단위/Contract/Simulator로 정상·오류·경계·부분 실패·재시도/복구·권한·감사·다중 인스턴스 영향까지 자동 Test와 최신 SHA Evidence로 검증한다.</x:v>
      </x:c>
      <x:c r="I490" s="12" t="str"/>
      <x:c r="J490" s="12" t="str">
        <x:v>WP00</x:v>
      </x:c>
      <x:c r="K490" s="12" t="str"/>
      <x:c r="L490" s="12" t="str">
        <x:v>WAS+MariaDB; others deferred</x:v>
      </x:c>
    </x:row>
    <x:row r="491">
      <x:c r="A491" s="12" t="str">
        <x:v>CPF-QA-D03-DBVAL-014</x:v>
      </x:c>
      <x:c r="B491" s="12" t="str">
        <x:v>DBVAL</x:v>
      </x:c>
      <x:c r="C491" s="12" t="str">
        <x:v>WP13</x:v>
      </x:c>
      <x:c r="D491" s="12" t="str">
        <x:v>미검증</x:v>
      </x:c>
      <x:c r="E491" s="12" t="str">
        <x:v>P0</x:v>
      </x:c>
      <x:c r="F491" s="12" t="str">
        <x:v>Kafka 실Runtime 미검증 명시</x:v>
      </x:c>
      <x:c r="G491" s="12" t="str">
        <x:v>현재 검증 환경 정책에 따라 **Kafka 실Runtime 미검증 명시** 기능을 제품 계약·기본 구현·실제 Consumer·운영 기능까지 연결한다. 단순 Interface, 화면 Route, Sample 문자열만으로 완료 처리하지 않는다.</x:v>
      </x:c>
      <x:c r="H491" s="12" t="str">
        <x:v>실행 가능한 WAS·MariaDB는 실제 실행하고 미설치 Provider는 구현/정적/단위/Contract/Simulator로 정상·오류·경계·부분 실패·재시도/복구·권한·감사·다중 인스턴스 영향까지 자동 Test와 최신 SHA Evidence로 검증한다.</x:v>
      </x:c>
      <x:c r="I491" s="12" t="str"/>
      <x:c r="J491" s="12" t="str">
        <x:v>WP00</x:v>
      </x:c>
      <x:c r="K491" s="12" t="str"/>
      <x:c r="L491" s="12" t="str">
        <x:v>WAS+MariaDB; others deferred</x:v>
      </x:c>
    </x:row>
    <x:row r="492">
      <x:c r="A492" s="12" t="str">
        <x:v>CPF-QA-D03-DBVAL-015</x:v>
      </x:c>
      <x:c r="B492" s="12" t="str">
        <x:v>DBVAL</x:v>
      </x:c>
      <x:c r="C492" s="12" t="str">
        <x:v>WP13</x:v>
      </x:c>
      <x:c r="D492" s="12" t="str">
        <x:v>미검증</x:v>
      </x:c>
      <x:c r="E492" s="12" t="str">
        <x:v>P0</x:v>
      </x:c>
      <x:c r="F492" s="12" t="str">
        <x:v>RabbitMQ/JMS 구현·Simulator Test</x:v>
      </x:c>
      <x:c r="G492" s="12" t="str">
        <x:v>현재 검증 환경 정책에 따라 **RabbitMQ/JMS 구현·Simulator Test** 기능을 제품 계약·기본 구현·실제 Consumer·운영 기능까지 연결한다. 단순 Interface, 화면 Route, Sample 문자열만으로 완료 처리하지 않는다.</x:v>
      </x:c>
      <x:c r="H492" s="12" t="str">
        <x:v>실행 가능한 WAS·MariaDB는 실제 실행하고 미설치 Provider는 구현/정적/단위/Contract/Simulator로 정상·오류·경계·부분 실패·재시도/복구·권한·감사·다중 인스턴스 영향까지 자동 Test와 최신 SHA Evidence로 검증한다.</x:v>
      </x:c>
      <x:c r="I492" s="12" t="str"/>
      <x:c r="J492" s="12" t="str">
        <x:v>WP00</x:v>
      </x:c>
      <x:c r="K492" s="12" t="str"/>
      <x:c r="L492" s="12" t="str">
        <x:v>WAS+MariaDB; others deferred</x:v>
      </x:c>
    </x:row>
    <x:row r="493">
      <x:c r="A493" s="12" t="str">
        <x:v>CPF-QA-D03-DBVAL-016</x:v>
      </x:c>
      <x:c r="B493" s="12" t="str">
        <x:v>DBVAL</x:v>
      </x:c>
      <x:c r="C493" s="12" t="str">
        <x:v>WP13</x:v>
      </x:c>
      <x:c r="D493" s="12" t="str">
        <x:v>미검증</x:v>
      </x:c>
      <x:c r="E493" s="12" t="str">
        <x:v>P0</x:v>
      </x:c>
      <x:c r="F493" s="12" t="str">
        <x:v>SMS 실발송 미검증 명시</x:v>
      </x:c>
      <x:c r="G493" s="12" t="str">
        <x:v>현재 검증 환경 정책에 따라 **SMS 실발송 미검증 명시** 기능을 제품 계약·기본 구현·실제 Consumer·운영 기능까지 연결한다. 단순 Interface, 화면 Route, Sample 문자열만으로 완료 처리하지 않는다.</x:v>
      </x:c>
      <x:c r="H493" s="12" t="str">
        <x:v>실행 가능한 WAS·MariaDB는 실제 실행하고 미설치 Provider는 구현/정적/단위/Contract/Simulator로 정상·오류·경계·부분 실패·재시도/복구·권한·감사·다중 인스턴스 영향까지 자동 Test와 최신 SHA Evidence로 검증한다.</x:v>
      </x:c>
      <x:c r="I493" s="12" t="str"/>
      <x:c r="J493" s="12" t="str">
        <x:v>WP00</x:v>
      </x:c>
      <x:c r="K493" s="12" t="str"/>
      <x:c r="L493" s="12" t="str">
        <x:v>WAS+MariaDB; others deferred</x:v>
      </x:c>
    </x:row>
    <x:row r="494">
      <x:c r="A494" s="12" t="str">
        <x:v>CPF-QA-D03-DBVAL-017</x:v>
      </x:c>
      <x:c r="B494" s="12" t="str">
        <x:v>DBVAL</x:v>
      </x:c>
      <x:c r="C494" s="12" t="str">
        <x:v>WP13</x:v>
      </x:c>
      <x:c r="D494" s="12" t="str">
        <x:v>미검증</x:v>
      </x:c>
      <x:c r="E494" s="12" t="str">
        <x:v>P0</x:v>
      </x:c>
      <x:c r="F494" s="12" t="str">
        <x:v>외부 SFTP/SOAP/gRPC 실연동 미검증 명시</x:v>
      </x:c>
      <x:c r="G494" s="12" t="str">
        <x:v>현재 검증 환경 정책에 따라 **외부 SFTP/SOAP/gRPC 실연동 미검증 명시** 기능을 제품 계약·기본 구현·실제 Consumer·운영 기능까지 연결한다. 단순 Interface, 화면 Route, Sample 문자열만으로 완료 처리하지 않는다.</x:v>
      </x:c>
      <x:c r="H494" s="12" t="str">
        <x:v>실행 가능한 WAS·MariaDB는 실제 실행하고 미설치 Provider는 구현/정적/단위/Contract/Simulator로 정상·오류·경계·부분 실패·재시도/복구·권한·감사·다중 인스턴스 영향까지 자동 Test와 최신 SHA Evidence로 검증한다.</x:v>
      </x:c>
      <x:c r="I494" s="12" t="str"/>
      <x:c r="J494" s="12" t="str">
        <x:v>WP00</x:v>
      </x:c>
      <x:c r="K494" s="12" t="str"/>
      <x:c r="L494" s="12" t="str">
        <x:v>WAS+MariaDB; others deferred</x:v>
      </x:c>
    </x:row>
    <x:row r="495">
      <x:c r="A495" s="12" t="str">
        <x:v>CPF-QA-D03-DBVAL-018</x:v>
      </x:c>
      <x:c r="B495" s="12" t="str">
        <x:v>DBVAL</x:v>
      </x:c>
      <x:c r="C495" s="12" t="str">
        <x:v>WP13</x:v>
      </x:c>
      <x:c r="D495" s="12" t="str">
        <x:v>미검증</x:v>
      </x:c>
      <x:c r="E495" s="12" t="str">
        <x:v>P0</x:v>
      </x:c>
      <x:c r="F495" s="12" t="str">
        <x:v>Testcontainers 선택 사용과 설치 의존 분리</x:v>
      </x:c>
      <x:c r="G495" s="12" t="str">
        <x:v>현재 검증 환경 정책에 따라 **Testcontainers 선택 사용과 설치 의존 분리** 기능을 제품 계약·기본 구현·실제 Consumer·운영 기능까지 연결한다. 단순 Interface, 화면 Route, Sample 문자열만으로 완료 처리하지 않는다.</x:v>
      </x:c>
      <x:c r="H495" s="12" t="str">
        <x:v>실행 가능한 WAS·MariaDB는 실제 실행하고 미설치 Provider는 구현/정적/단위/Contract/Simulator로 정상·오류·경계·부분 실패·재시도/복구·권한·감사·다중 인스턴스 영향까지 자동 Test와 최신 SHA Evidence로 검증한다.</x:v>
      </x:c>
      <x:c r="I495" s="12" t="str"/>
      <x:c r="J495" s="12" t="str">
        <x:v>WP00</x:v>
      </x:c>
      <x:c r="K495" s="12" t="str"/>
      <x:c r="L495" s="12" t="str">
        <x:v>WAS+MariaDB; others deferred</x:v>
      </x:c>
    </x:row>
    <x:row r="496">
      <x:c r="A496" s="12" t="str">
        <x:v>CPF-QA-D03-DBVAL-019</x:v>
      </x:c>
      <x:c r="B496" s="12" t="str">
        <x:v>DBVAL</x:v>
      </x:c>
      <x:c r="C496" s="12" t="str">
        <x:v>WP13</x:v>
      </x:c>
      <x:c r="D496" s="12" t="str">
        <x:v>미검증</x:v>
      </x:c>
      <x:c r="E496" s="12" t="str">
        <x:v>P0</x:v>
      </x:c>
      <x:c r="F496" s="12" t="str">
        <x:v>실환경 확보 후 동일 Scenario 재사용</x:v>
      </x:c>
      <x:c r="G496" s="12" t="str">
        <x:v>현재 검증 환경 정책에 따라 **실환경 확보 후 동일 Scenario 재사용** 기능을 제품 계약·기본 구현·실제 Consumer·운영 기능까지 연결한다. 단순 Interface, 화면 Route, Sample 문자열만으로 완료 처리하지 않는다.</x:v>
      </x:c>
      <x:c r="H496" s="12" t="str">
        <x:v>실행 가능한 WAS·MariaDB는 실제 실행하고 미설치 Provider는 구현/정적/단위/Contract/Simulator로 정상·오류·경계·부분 실패·재시도/복구·권한·감사·다중 인스턴스 영향까지 자동 Test와 최신 SHA Evidence로 검증한다.</x:v>
      </x:c>
      <x:c r="I496" s="12" t="str"/>
      <x:c r="J496" s="12" t="str">
        <x:v>WP00</x:v>
      </x:c>
      <x:c r="K496" s="12" t="str"/>
      <x:c r="L496" s="12" t="str">
        <x:v>WAS+MariaDB; others deferred</x:v>
      </x:c>
    </x:row>
    <x:row r="497">
      <x:c r="A497" s="12" t="str">
        <x:v>CPF-QA-D03-DBVAL-020</x:v>
      </x:c>
      <x:c r="B497" s="12" t="str">
        <x:v>DBVAL</x:v>
      </x:c>
      <x:c r="C497" s="12" t="str">
        <x:v>WP13</x:v>
      </x:c>
      <x:c r="D497" s="12" t="str">
        <x:v>미검증</x:v>
      </x:c>
      <x:c r="E497" s="12" t="str">
        <x:v>P0</x:v>
      </x:c>
      <x:c r="F497" s="12" t="str">
        <x:v>미검증→완료 승격 Evidence 규칙</x:v>
      </x:c>
      <x:c r="G497" s="12" t="str">
        <x:v>현재 검증 환경 정책에 따라 **미검증→완료 승격 Evidence 규칙** 기능을 제품 계약·기본 구현·실제 Consumer·운영 기능까지 연결한다. 단순 Interface, 화면 Route, Sample 문자열만으로 완료 처리하지 않는다.</x:v>
      </x:c>
      <x:c r="H497" s="12" t="str">
        <x:v>실행 가능한 WAS·MariaDB는 실제 실행하고 미설치 Provider는 구현/정적/단위/Contract/Simulator로 정상·오류·경계·부분 실패·재시도/복구·권한·감사·다중 인스턴스 영향까지 자동 Test와 최신 SHA Evidence로 검증한다.</x:v>
      </x:c>
      <x:c r="I497" s="12" t="str"/>
      <x:c r="J497" s="12" t="str">
        <x:v>WP00</x:v>
      </x:c>
      <x:c r="K497" s="12" t="str"/>
      <x:c r="L497" s="12" t="str">
        <x:v>WAS+MariaDB; others deferred</x:v>
      </x:c>
    </x:row>
    <x:row r="498">
      <x:c r="A498" s="12" t="str">
        <x:v>CPF-QA-D03-GEN-001</x:v>
      </x:c>
      <x:c r="B498" s="12" t="str">
        <x:v>GEN</x:v>
      </x:c>
      <x:c r="C498" s="12" t="str">
        <x:v>WP14</x:v>
      </x:c>
      <x:c r="D498" s="12" t="str">
        <x:v>부분 구현</x:v>
      </x:c>
      <x:c r="E498" s="12" t="str">
        <x:v>P1</x:v>
      </x:c>
      <x:c r="F498" s="12" t="str">
        <x:v>Generator가 CPF Client API만 생성</x:v>
      </x:c>
      <x:c r="G498" s="12" t="str">
        <x:v>중앙 Generator Template에서 **Generator가 CPF Client API만 생성** 기능을 제품 계약·기본 구현·실제 Consumer·운영 기능까지 연결한다. 단순 Interface, 화면 Route, Sample 문자열만으로 완료 처리하지 않는다.</x:v>
      </x:c>
      <x:c r="H498" s="12" t="str">
        <x:v>create→build→DB→runtime→remove→regenerate lifecycle로 정상·오류·경계·부분 실패·재시도/복구·권한·감사·다중 인스턴스 영향까지 자동 Test와 최신 SHA Evidence로 검증한다.</x:v>
      </x:c>
      <x:c r="I498" s="12" t="str"/>
      <x:c r="J498" s="12" t="str">
        <x:v>WP01,WP02,WP07,WP08,WP09</x:v>
      </x:c>
      <x:c r="K498" s="12" t="str"/>
      <x:c r="L498" s="12" t="str"/>
    </x:row>
    <x:row r="499">
      <x:c r="A499" s="12" t="str">
        <x:v>CPF-QA-D03-GEN-002</x:v>
      </x:c>
      <x:c r="B499" s="12" t="str">
        <x:v>GEN</x:v>
      </x:c>
      <x:c r="C499" s="12" t="str">
        <x:v>WP14</x:v>
      </x:c>
      <x:c r="D499" s="12" t="str">
        <x:v>부분 구현</x:v>
      </x:c>
      <x:c r="E499" s="12" t="str">
        <x:v>P1</x:v>
      </x:c>
      <x:c r="F499" s="12" t="str">
        <x:v>Generator Batch Handler Template</x:v>
      </x:c>
      <x:c r="G499" s="12" t="str">
        <x:v>중앙 Generator Template에서 **Generator Batch Handler Template** 기능을 제품 계약·기본 구현·실제 Consumer·운영 기능까지 연결한다. 단순 Interface, 화면 Route, Sample 문자열만으로 완료 처리하지 않는다.</x:v>
      </x:c>
      <x:c r="H499" s="12" t="str">
        <x:v>create→build→DB→runtime→remove→regenerate lifecycle로 정상·오류·경계·부분 실패·재시도/복구·권한·감사·다중 인스턴스 영향까지 자동 Test와 최신 SHA Evidence로 검증한다.</x:v>
      </x:c>
      <x:c r="I499" s="12" t="str"/>
      <x:c r="J499" s="12" t="str">
        <x:v>WP01,WP02,WP07,WP08,WP09</x:v>
      </x:c>
      <x:c r="K499" s="12" t="str"/>
      <x:c r="L499" s="12" t="str"/>
    </x:row>
    <x:row r="500">
      <x:c r="A500" s="12" t="str">
        <x:v>CPF-QA-D03-GEN-003</x:v>
      </x:c>
      <x:c r="B500" s="12" t="str">
        <x:v>GEN</x:v>
      </x:c>
      <x:c r="C500" s="12" t="str">
        <x:v>WP14</x:v>
      </x:c>
      <x:c r="D500" s="12" t="str">
        <x:v>부분 구현</x:v>
      </x:c>
      <x:c r="E500" s="12" t="str">
        <x:v>P1</x:v>
      </x:c>
      <x:c r="F500" s="12" t="str">
        <x:v>Generator Job Metadata Template</x:v>
      </x:c>
      <x:c r="G500" s="12" t="str">
        <x:v>중앙 Generator Template에서 **Generator Job Metadata Template** 기능을 제품 계약·기본 구현·실제 Consumer·운영 기능까지 연결한다. 단순 Interface, 화면 Route, Sample 문자열만으로 완료 처리하지 않는다.</x:v>
      </x:c>
      <x:c r="H500" s="12" t="str">
        <x:v>create→build→DB→runtime→remove→regenerate lifecycle로 정상·오류·경계·부분 실패·재시도/복구·권한·감사·다중 인스턴스 영향까지 자동 Test와 최신 SHA Evidence로 검증한다.</x:v>
      </x:c>
      <x:c r="I500" s="12" t="str"/>
      <x:c r="J500" s="12" t="str">
        <x:v>WP01,WP02,WP07,WP08,WP09</x:v>
      </x:c>
      <x:c r="K500" s="12" t="str"/>
      <x:c r="L500" s="12" t="str"/>
    </x:row>
    <x:row r="501">
      <x:c r="A501" s="12" t="str">
        <x:v>CPF-QA-D03-GEN-004</x:v>
      </x:c>
      <x:c r="B501" s="12" t="str">
        <x:v>GEN</x:v>
      </x:c>
      <x:c r="C501" s="12" t="str">
        <x:v>WP14</x:v>
      </x:c>
      <x:c r="D501" s="12" t="str">
        <x:v>부분 구현</x:v>
      </x:c>
      <x:c r="E501" s="12" t="str">
        <x:v>P1</x:v>
      </x:c>
      <x:c r="F501" s="12" t="str">
        <x:v>Generator 연동 Adapter Template</x:v>
      </x:c>
      <x:c r="G501" s="12" t="str">
        <x:v>중앙 Generator Template에서 **Generator 연동 Adapter Template** 기능을 제품 계약·기본 구현·실제 Consumer·운영 기능까지 연결한다. 단순 Interface, 화면 Route, Sample 문자열만으로 완료 처리하지 않는다.</x:v>
      </x:c>
      <x:c r="H501" s="12" t="str">
        <x:v>create→build→DB→runtime→remove→regenerate lifecycle로 정상·오류·경계·부분 실패·재시도/복구·권한·감사·다중 인스턴스 영향까지 자동 Test와 최신 SHA Evidence로 검증한다.</x:v>
      </x:c>
      <x:c r="I501" s="12" t="str"/>
      <x:c r="J501" s="12" t="str">
        <x:v>WP01,WP02,WP07,WP08,WP09</x:v>
      </x:c>
      <x:c r="K501" s="12" t="str"/>
      <x:c r="L501" s="12" t="str"/>
    </x:row>
    <x:row r="502">
      <x:c r="A502" s="12" t="str">
        <x:v>CPF-QA-D03-GEN-005</x:v>
      </x:c>
      <x:c r="B502" s="12" t="str">
        <x:v>GEN</x:v>
      </x:c>
      <x:c r="C502" s="12" t="str">
        <x:v>WP14</x:v>
      </x:c>
      <x:c r="D502" s="12" t="str">
        <x:v>부분 구현</x:v>
      </x:c>
      <x:c r="E502" s="12" t="str">
        <x:v>P1</x:v>
      </x:c>
      <x:c r="F502" s="12" t="str">
        <x:v>Generator EDU·Test Template</x:v>
      </x:c>
      <x:c r="G502" s="12" t="str">
        <x:v>중앙 Generator Template에서 **Generator EDU·Test Template** 기능을 제품 계약·기본 구현·실제 Consumer·운영 기능까지 연결한다. 단순 Interface, 화면 Route, Sample 문자열만으로 완료 처리하지 않는다.</x:v>
      </x:c>
      <x:c r="H502" s="12" t="str">
        <x:v>create→build→DB→runtime→remove→regenerate lifecycle로 정상·오류·경계·부분 실패·재시도/복구·권한·감사·다중 인스턴스 영향까지 자동 Test와 최신 SHA Evidence로 검증한다.</x:v>
      </x:c>
      <x:c r="I502" s="12" t="str"/>
      <x:c r="J502" s="12" t="str">
        <x:v>WP01,WP02,WP07,WP08,WP09</x:v>
      </x:c>
      <x:c r="K502" s="12" t="str"/>
      <x:c r="L502" s="12" t="str"/>
    </x:row>
    <x:row r="503">
      <x:c r="A503" s="12" t="str">
        <x:v>CPF-QA-D03-GEN-006</x:v>
      </x:c>
      <x:c r="B503" s="12" t="str">
        <x:v>GEN</x:v>
      </x:c>
      <x:c r="C503" s="12" t="str">
        <x:v>WP14</x:v>
      </x:c>
      <x:c r="D503" s="12" t="str">
        <x:v>부분 구현</x:v>
      </x:c>
      <x:c r="E503" s="12" t="str">
        <x:v>P1</x:v>
      </x:c>
      <x:c r="F503" s="12" t="str">
        <x:v>Generator package-info·JavaDoc Template</x:v>
      </x:c>
      <x:c r="G503" s="12" t="str">
        <x:v>중앙 Generator Template에서 **Generator package-info·JavaDoc Template** 기능을 제품 계약·기본 구현·실제 Consumer·운영 기능까지 연결한다. 단순 Interface, 화면 Route, Sample 문자열만으로 완료 처리하지 않는다.</x:v>
      </x:c>
      <x:c r="H503" s="12" t="str">
        <x:v>create→build→DB→runtime→remove→regenerate lifecycle로 정상·오류·경계·부분 실패·재시도/복구·권한·감사·다중 인스턴스 영향까지 자동 Test와 최신 SHA Evidence로 검증한다.</x:v>
      </x:c>
      <x:c r="I503" s="12" t="str"/>
      <x:c r="J503" s="12" t="str">
        <x:v>WP01,WP02,WP07,WP08,WP09</x:v>
      </x:c>
      <x:c r="K503" s="12" t="str"/>
      <x:c r="L503" s="12" t="str"/>
    </x:row>
    <x:row r="504">
      <x:c r="A504" s="12" t="str">
        <x:v>CPF-QA-D03-GEN-007</x:v>
      </x:c>
      <x:c r="B504" s="12" t="str">
        <x:v>GEN</x:v>
      </x:c>
      <x:c r="C504" s="12" t="str">
        <x:v>WP14</x:v>
      </x:c>
      <x:c r="D504" s="12" t="str">
        <x:v>부분 구현</x:v>
      </x:c>
      <x:c r="E504" s="12" t="str">
        <x:v>P1</x:v>
      </x:c>
      <x:c r="F504" s="12" t="str">
        <x:v>Generator OpenAPI Template</x:v>
      </x:c>
      <x:c r="G504" s="12" t="str">
        <x:v>중앙 Generator Template에서 **Generator OpenAPI Template** 기능을 제품 계약·기본 구현·실제 Consumer·운영 기능까지 연결한다. 단순 Interface, 화면 Route, Sample 문자열만으로 완료 처리하지 않는다.</x:v>
      </x:c>
      <x:c r="H504" s="12" t="str">
        <x:v>create→build→DB→runtime→remove→regenerate lifecycle로 정상·오류·경계·부분 실패·재시도/복구·권한·감사·다중 인스턴스 영향까지 자동 Test와 최신 SHA Evidence로 검증한다.</x:v>
      </x:c>
      <x:c r="I504" s="12" t="str"/>
      <x:c r="J504" s="12" t="str">
        <x:v>WP01,WP02,WP07,WP08,WP09</x:v>
      </x:c>
      <x:c r="K504" s="12" t="str"/>
      <x:c r="L504" s="12" t="str"/>
    </x:row>
    <x:row r="505">
      <x:c r="A505" s="12" t="str">
        <x:v>CPF-QA-D03-GEN-008</x:v>
      </x:c>
      <x:c r="B505" s="12" t="str">
        <x:v>GEN</x:v>
      </x:c>
      <x:c r="C505" s="12" t="str">
        <x:v>WP14</x:v>
      </x:c>
      <x:c r="D505" s="12" t="str">
        <x:v>부분 구현</x:v>
      </x:c>
      <x:c r="E505" s="12" t="str">
        <x:v>P1</x:v>
      </x:c>
      <x:c r="F505" s="12" t="str">
        <x:v>Module·Package·SystemCode 충돌</x:v>
      </x:c>
      <x:c r="G505" s="12" t="str">
        <x:v>중앙 Generator Template에서 **Module·Package·SystemCode 충돌** 기능을 제품 계약·기본 구현·실제 Consumer·운영 기능까지 연결한다. 단순 Interface, 화면 Route, Sample 문자열만으로 완료 처리하지 않는다.</x:v>
      </x:c>
      <x:c r="H505" s="12" t="str">
        <x:v>create→build→DB→runtime→remove→regenerate lifecycle로 정상·오류·경계·부분 실패·재시도/복구·권한·감사·다중 인스턴스 영향까지 자동 Test와 최신 SHA Evidence로 검증한다.</x:v>
      </x:c>
      <x:c r="I505" s="12" t="str"/>
      <x:c r="J505" s="12" t="str">
        <x:v>WP01,WP02,WP07,WP08,WP09</x:v>
      </x:c>
      <x:c r="K505" s="12" t="str"/>
      <x:c r="L505" s="12" t="str"/>
    </x:row>
    <x:row r="506">
      <x:c r="A506" s="12" t="str">
        <x:v>CPF-QA-D03-GEN-009</x:v>
      </x:c>
      <x:c r="B506" s="12" t="str">
        <x:v>GEN</x:v>
      </x:c>
      <x:c r="C506" s="12" t="str">
        <x:v>WP14</x:v>
      </x:c>
      <x:c r="D506" s="12" t="str">
        <x:v>부분 구현</x:v>
      </x:c>
      <x:c r="E506" s="12" t="str">
        <x:v>P1</x:v>
      </x:c>
      <x:c r="F506" s="12" t="str">
        <x:v>Route·DB·Schema 충돌</x:v>
      </x:c>
      <x:c r="G506" s="12" t="str">
        <x:v>중앙 Generator Template에서 **Route·DB·Schema 충돌** 기능을 제품 계약·기본 구현·실제 Consumer·운영 기능까지 연결한다. 단순 Interface, 화면 Route, Sample 문자열만으로 완료 처리하지 않는다.</x:v>
      </x:c>
      <x:c r="H506" s="12" t="str">
        <x:v>create→build→DB→runtime→remove→regenerate lifecycle로 정상·오류·경계·부분 실패·재시도/복구·권한·감사·다중 인스턴스 영향까지 자동 Test와 최신 SHA Evidence로 검증한다.</x:v>
      </x:c>
      <x:c r="I506" s="12" t="str"/>
      <x:c r="J506" s="12" t="str">
        <x:v>WP01,WP02,WP07,WP08,WP09</x:v>
      </x:c>
      <x:c r="K506" s="12" t="str"/>
      <x:c r="L506" s="12" t="str"/>
    </x:row>
    <x:row r="507">
      <x:c r="A507" s="12" t="str">
        <x:v>CPF-QA-D03-GEN-010</x:v>
      </x:c>
      <x:c r="B507" s="12" t="str">
        <x:v>GEN</x:v>
      </x:c>
      <x:c r="C507" s="12" t="str">
        <x:v>WP14</x:v>
      </x:c>
      <x:c r="D507" s="12" t="str">
        <x:v>부분 구현</x:v>
      </x:c>
      <x:c r="E507" s="12" t="str">
        <x:v>P1</x:v>
      </x:c>
      <x:c r="F507" s="12" t="str">
        <x:v>Runtime Agent·Group Metadata 생성</x:v>
      </x:c>
      <x:c r="G507" s="12" t="str">
        <x:v>중앙 Generator Template에서 **Runtime Agent·Group Metadata 생성** 기능을 제품 계약·기본 구현·실제 Consumer·운영 기능까지 연결한다. 단순 Interface, 화면 Route, Sample 문자열만으로 완료 처리하지 않는다.</x:v>
      </x:c>
      <x:c r="H507" s="12" t="str">
        <x:v>create→build→DB→runtime→remove→regenerate lifecycle로 정상·오류·경계·부분 실패·재시도/복구·권한·감사·다중 인스턴스 영향까지 자동 Test와 최신 SHA Evidence로 검증한다.</x:v>
      </x:c>
      <x:c r="I507" s="12" t="str"/>
      <x:c r="J507" s="12" t="str">
        <x:v>WP01,WP02,WP07,WP08,WP09</x:v>
      </x:c>
      <x:c r="K507" s="12" t="str"/>
      <x:c r="L507" s="12" t="str"/>
    </x:row>
    <x:row r="508">
      <x:c r="A508" s="12" t="str">
        <x:v>CPF-QA-D03-GEN-011</x:v>
      </x:c>
      <x:c r="B508" s="12" t="str">
        <x:v>GEN</x:v>
      </x:c>
      <x:c r="C508" s="12" t="str">
        <x:v>WP14</x:v>
      </x:c>
      <x:c r="D508" s="12" t="str">
        <x:v>부분 구현</x:v>
      </x:c>
      <x:c r="E508" s="12" t="str">
        <x:v>P1</x:v>
      </x:c>
      <x:c r="F508" s="12" t="str">
        <x:v>사용자 코드 덮어쓰기 방지</x:v>
      </x:c>
      <x:c r="G508" s="12" t="str">
        <x:v>중앙 Generator Template에서 **사용자 코드 덮어쓰기 방지** 기능을 제품 계약·기본 구현·실제 Consumer·운영 기능까지 연결한다. 단순 Interface, 화면 Route, Sample 문자열만으로 완료 처리하지 않는다.</x:v>
      </x:c>
      <x:c r="H508" s="12" t="str">
        <x:v>create→build→DB→runtime→remove→regenerate lifecycle로 정상·오류·경계·부분 실패·재시도/복구·권한·감사·다중 인스턴스 영향까지 자동 Test와 최신 SHA Evidence로 검증한다.</x:v>
      </x:c>
      <x:c r="I508" s="12" t="str"/>
      <x:c r="J508" s="12" t="str">
        <x:v>WP01,WP02,WP07,WP08,WP09</x:v>
      </x:c>
      <x:c r="K508" s="12" t="str"/>
      <x:c r="L508" s="12" t="str"/>
    </x:row>
    <x:row r="509">
      <x:c r="A509" s="12" t="str">
        <x:v>CPF-QA-D03-GEN-012</x:v>
      </x:c>
      <x:c r="B509" s="12" t="str">
        <x:v>GEN</x:v>
      </x:c>
      <x:c r="C509" s="12" t="str">
        <x:v>WP14</x:v>
      </x:c>
      <x:c r="D509" s="12" t="str">
        <x:v>부분 구현</x:v>
      </x:c>
      <x:c r="E509" s="12" t="str">
        <x:v>P1</x:v>
      </x:c>
      <x:c r="F509" s="12" t="str">
        <x:v>재생성 normalized parity</x:v>
      </x:c>
      <x:c r="G509" s="12" t="str">
        <x:v>중앙 Generator Template에서 **재생성 normalized parity** 기능을 제품 계약·기본 구현·실제 Consumer·운영 기능까지 연결한다. 단순 Interface, 화면 Route, Sample 문자열만으로 완료 처리하지 않는다.</x:v>
      </x:c>
      <x:c r="H509" s="12" t="str">
        <x:v>create→build→DB→runtime→remove→regenerate lifecycle로 정상·오류·경계·부분 실패·재시도/복구·권한·감사·다중 인스턴스 영향까지 자동 Test와 최신 SHA Evidence로 검증한다.</x:v>
      </x:c>
      <x:c r="I509" s="12" t="str"/>
      <x:c r="J509" s="12" t="str">
        <x:v>WP01,WP02,WP07,WP08,WP09</x:v>
      </x:c>
      <x:c r="K509" s="12" t="str"/>
      <x:c r="L509" s="12" t="str"/>
    </x:row>
    <x:row r="510">
      <x:c r="A510" s="12" t="str">
        <x:v>CPF-QA-D03-GEN-013</x:v>
      </x:c>
      <x:c r="B510" s="12" t="str">
        <x:v>GEN</x:v>
      </x:c>
      <x:c r="C510" s="12" t="str">
        <x:v>WP14</x:v>
      </x:c>
      <x:c r="D510" s="12" t="str">
        <x:v>부분 구현</x:v>
      </x:c>
      <x:c r="E510" s="12" t="str">
        <x:v>P1</x:v>
      </x:c>
      <x:c r="F510" s="12" t="str">
        <x:v>ACC/MBR 임의 Domain 생성</x:v>
      </x:c>
      <x:c r="G510" s="12" t="str">
        <x:v>중앙 Generator Template에서 **ACC/MBR 임의 Domain 생성** 기능을 제품 계약·기본 구현·실제 Consumer·운영 기능까지 연결한다. 단순 Interface, 화면 Route, Sample 문자열만으로 완료 처리하지 않는다.</x:v>
      </x:c>
      <x:c r="H510" s="12" t="str">
        <x:v>create→build→DB→runtime→remove→regenerate lifecycle로 정상·오류·경계·부분 실패·재시도/복구·권한·감사·다중 인스턴스 영향까지 자동 Test와 최신 SHA Evidence로 검증한다.</x:v>
      </x:c>
      <x:c r="I510" s="12" t="str"/>
      <x:c r="J510" s="12" t="str">
        <x:v>WP01,WP02,WP07,WP08,WP09</x:v>
      </x:c>
      <x:c r="K510" s="12" t="str"/>
      <x:c r="L510" s="12" t="str"/>
    </x:row>
    <x:row r="511">
      <x:c r="A511" s="12" t="str">
        <x:v>CPF-QA-D03-GEN-014</x:v>
      </x:c>
      <x:c r="B511" s="12" t="str">
        <x:v>GEN</x:v>
      </x:c>
      <x:c r="C511" s="12" t="str">
        <x:v>WP14</x:v>
      </x:c>
      <x:c r="D511" s="12" t="str">
        <x:v>부분 구현</x:v>
      </x:c>
      <x:c r="E511" s="12" t="str">
        <x:v>P1</x:v>
      </x:c>
      <x:c r="F511" s="12" t="str">
        <x:v>Generated Domain Local/Remote parity</x:v>
      </x:c>
      <x:c r="G511" s="12" t="str">
        <x:v>중앙 Generator Template에서 **Generated Domain Local/Remote parity** 기능을 제품 계약·기본 구현·실제 Consumer·운영 기능까지 연결한다. 단순 Interface, 화면 Route, Sample 문자열만으로 완료 처리하지 않는다.</x:v>
      </x:c>
      <x:c r="H511" s="12" t="str">
        <x:v>create→build→DB→runtime→remove→regenerate lifecycle로 정상·오류·경계·부분 실패·재시도/복구·권한·감사·다중 인스턴스 영향까지 자동 Test와 최신 SHA Evidence로 검증한다.</x:v>
      </x:c>
      <x:c r="I511" s="12" t="str"/>
      <x:c r="J511" s="12" t="str">
        <x:v>WP01,WP02,WP07,WP08,WP09</x:v>
      </x:c>
      <x:c r="K511" s="12" t="str"/>
      <x:c r="L511" s="12" t="str"/>
    </x:row>
    <x:row r="512">
      <x:c r="A512" s="12" t="str">
        <x:v>CPF-QA-D03-GEN-015</x:v>
      </x:c>
      <x:c r="B512" s="12" t="str">
        <x:v>GEN</x:v>
      </x:c>
      <x:c r="C512" s="12" t="str">
        <x:v>WP14</x:v>
      </x:c>
      <x:c r="D512" s="12" t="str">
        <x:v>부분 구현</x:v>
      </x:c>
      <x:c r="E512" s="12" t="str">
        <x:v>P1</x:v>
      </x:c>
      <x:c r="F512" s="12" t="str">
        <x:v>Generated Domain Reference Matrix</x:v>
      </x:c>
      <x:c r="G512" s="12" t="str">
        <x:v>중앙 Generator Template에서 **Generated Domain Reference Matrix** 기능을 제품 계약·기본 구현·실제 Consumer·운영 기능까지 연결한다. 단순 Interface, 화면 Route, Sample 문자열만으로 완료 처리하지 않는다.</x:v>
      </x:c>
      <x:c r="H512" s="12" t="str">
        <x:v>create→build→DB→runtime→remove→regenerate lifecycle로 정상·오류·경계·부분 실패·재시도/복구·권한·감사·다중 인스턴스 영향까지 자동 Test와 최신 SHA Evidence로 검증한다.</x:v>
      </x:c>
      <x:c r="I512" s="12" t="str"/>
      <x:c r="J512" s="12" t="str">
        <x:v>WP01,WP02,WP07,WP08,WP09</x:v>
      </x:c>
      <x:c r="K512" s="12" t="str"/>
      <x:c r="L512" s="12" t="str"/>
    </x:row>
    <x:row r="513">
      <x:c r="A513" s="12" t="str">
        <x:v>CPF-QA-D03-VAL-001</x:v>
      </x:c>
      <x:c r="B513" s="12" t="str">
        <x:v>VAL</x:v>
      </x:c>
      <x:c r="C513" s="12" t="str">
        <x:v>WP15</x:v>
      </x:c>
      <x:c r="D513" s="12" t="str">
        <x:v>미검증</x:v>
      </x:c>
      <x:c r="E513" s="12" t="str">
        <x:v>P0</x:v>
      </x:c>
      <x:c r="F513" s="12" t="str">
        <x:v>최신 SHA Source Gate</x:v>
      </x:c>
      <x:c r="G513" s="12" t="str">
        <x:v>통합 검증 단계에서 **최신 SHA Source Gate** 기능을 제품 계약·기본 구현·실제 Consumer·운영 기능까지 연결한다. 단순 Interface, 화면 Route, Sample 문자열만으로 완료 처리하지 않는다.</x:v>
      </x:c>
      <x:c r="H513" s="12" t="str">
        <x:v>명령·환경·시간·실제 결과·redaction을 최신 SHA Evidence로 정상·오류·경계·부분 실패·재시도/복구·권한·감사·다중 인스턴스 영향까지 자동 Test와 최신 SHA Evidence로 검증한다.</x:v>
      </x:c>
      <x:c r="I513" s="12" t="str"/>
      <x:c r="J513" s="12" t="str">
        <x:v>all</x:v>
      </x:c>
      <x:c r="K513" s="12" t="str"/>
      <x:c r="L513" s="12" t="str"/>
    </x:row>
    <x:row r="514">
      <x:c r="A514" s="12" t="str">
        <x:v>CPF-QA-D03-VAL-002</x:v>
      </x:c>
      <x:c r="B514" s="12" t="str">
        <x:v>VAL</x:v>
      </x:c>
      <x:c r="C514" s="12" t="str">
        <x:v>WP15</x:v>
      </x:c>
      <x:c r="D514" s="12" t="str">
        <x:v>미검증</x:v>
      </x:c>
      <x:c r="E514" s="12" t="str">
        <x:v>P0</x:v>
      </x:c>
      <x:c r="F514" s="12" t="str">
        <x:v>Java25 full build</x:v>
      </x:c>
      <x:c r="G514" s="12" t="str">
        <x:v>통합 검증 단계에서 **Java25 full build** 기능을 제품 계약·기본 구현·실제 Consumer·운영 기능까지 연결한다. 단순 Interface, 화면 Route, Sample 문자열만으로 완료 처리하지 않는다.</x:v>
      </x:c>
      <x:c r="H514" s="12" t="str">
        <x:v>명령·환경·시간·실제 결과·redaction을 최신 SHA Evidence로 정상·오류·경계·부분 실패·재시도/복구·권한·감사·다중 인스턴스 영향까지 자동 Test와 최신 SHA Evidence로 검증한다.</x:v>
      </x:c>
      <x:c r="I514" s="12" t="str"/>
      <x:c r="J514" s="12" t="str">
        <x:v>all</x:v>
      </x:c>
      <x:c r="K514" s="12" t="str"/>
      <x:c r="L514" s="12" t="str"/>
    </x:row>
    <x:row r="515">
      <x:c r="A515" s="12" t="str">
        <x:v>CPF-QA-D03-VAL-003</x:v>
      </x:c>
      <x:c r="B515" s="12" t="str">
        <x:v>VAL</x:v>
      </x:c>
      <x:c r="C515" s="12" t="str">
        <x:v>WP15</x:v>
      </x:c>
      <x:c r="D515" s="12" t="str">
        <x:v>미검증</x:v>
      </x:c>
      <x:c r="E515" s="12" t="str">
        <x:v>P0</x:v>
      </x:c>
      <x:c r="F515" s="12" t="str">
        <x:v>Frontend build·typecheck·test</x:v>
      </x:c>
      <x:c r="G515" s="12" t="str">
        <x:v>통합 검증 단계에서 **Frontend build·typecheck·test** 기능을 제품 계약·기본 구현·실제 Consumer·운영 기능까지 연결한다. 단순 Interface, 화면 Route, Sample 문자열만으로 완료 처리하지 않는다.</x:v>
      </x:c>
      <x:c r="H515" s="12" t="str">
        <x:v>명령·환경·시간·실제 결과·redaction을 최신 SHA Evidence로 정상·오류·경계·부분 실패·재시도/복구·권한·감사·다중 인스턴스 영향까지 자동 Test와 최신 SHA Evidence로 검증한다.</x:v>
      </x:c>
      <x:c r="I515" s="12" t="str"/>
      <x:c r="J515" s="12" t="str">
        <x:v>all</x:v>
      </x:c>
      <x:c r="K515" s="12" t="str"/>
      <x:c r="L515" s="12" t="str"/>
    </x:row>
    <x:row r="516">
      <x:c r="A516" s="12" t="str">
        <x:v>CPF-QA-D03-VAL-004</x:v>
      </x:c>
      <x:c r="B516" s="12" t="str">
        <x:v>VAL</x:v>
      </x:c>
      <x:c r="C516" s="12" t="str">
        <x:v>WP15</x:v>
      </x:c>
      <x:c r="D516" s="12" t="str">
        <x:v>미검증</x:v>
      </x:c>
      <x:c r="E516" s="12" t="str">
        <x:v>P0</x:v>
      </x:c>
      <x:c r="F516" s="12" t="str">
        <x:v>ArchUnit·Boundary Gate</x:v>
      </x:c>
      <x:c r="G516" s="12" t="str">
        <x:v>통합 검증 단계에서 **ArchUnit·Boundary Gate** 기능을 제품 계약·기본 구현·실제 Consumer·운영 기능까지 연결한다. 단순 Interface, 화면 Route, Sample 문자열만으로 완료 처리하지 않는다.</x:v>
      </x:c>
      <x:c r="H516" s="12" t="str">
        <x:v>명령·환경·시간·실제 결과·redaction을 최신 SHA Evidence로 정상·오류·경계·부분 실패·재시도/복구·권한·감사·다중 인스턴스 영향까지 자동 Test와 최신 SHA Evidence로 검증한다.</x:v>
      </x:c>
      <x:c r="I516" s="12" t="str"/>
      <x:c r="J516" s="12" t="str">
        <x:v>all</x:v>
      </x:c>
      <x:c r="K516" s="12" t="str"/>
      <x:c r="L516" s="12" t="str"/>
    </x:row>
    <x:row r="517">
      <x:c r="A517" s="12" t="str">
        <x:v>CPF-QA-D03-VAL-005</x:v>
      </x:c>
      <x:c r="B517" s="12" t="str">
        <x:v>VAL</x:v>
      </x:c>
      <x:c r="C517" s="12" t="str">
        <x:v>WP15</x:v>
      </x:c>
      <x:c r="D517" s="12" t="str">
        <x:v>미검증</x:v>
      </x:c>
      <x:c r="E517" s="12" t="str">
        <x:v>P0</x:v>
      </x:c>
      <x:c r="F517" s="12" t="str">
        <x:v>Secret·PII Scan</x:v>
      </x:c>
      <x:c r="G517" s="12" t="str">
        <x:v>통합 검증 단계에서 **Secret·PII Scan** 기능을 제품 계약·기본 구현·실제 Consumer·운영 기능까지 연결한다. 단순 Interface, 화면 Route, Sample 문자열만으로 완료 처리하지 않는다.</x:v>
      </x:c>
      <x:c r="H517" s="12" t="str">
        <x:v>명령·환경·시간·실제 결과·redaction을 최신 SHA Evidence로 정상·오류·경계·부분 실패·재시도/복구·권한·감사·다중 인스턴스 영향까지 자동 Test와 최신 SHA Evidence로 검증한다.</x:v>
      </x:c>
      <x:c r="I517" s="12" t="str"/>
      <x:c r="J517" s="12" t="str">
        <x:v>all</x:v>
      </x:c>
      <x:c r="K517" s="12" t="str"/>
      <x:c r="L517" s="12" t="str"/>
    </x:row>
    <x:row r="518">
      <x:c r="A518" s="12" t="str">
        <x:v>CPF-QA-D03-VAL-006</x:v>
      </x:c>
      <x:c r="B518" s="12" t="str">
        <x:v>VAL</x:v>
      </x:c>
      <x:c r="C518" s="12" t="str">
        <x:v>WP15</x:v>
      </x:c>
      <x:c r="D518" s="12" t="str">
        <x:v>미검증</x:v>
      </x:c>
      <x:c r="E518" s="12" t="str">
        <x:v>P0</x:v>
      </x:c>
      <x:c r="F518" s="12" t="str">
        <x:v>Dependency·License·SBOM Gate</x:v>
      </x:c>
      <x:c r="G518" s="12" t="str">
        <x:v>통합 검증 단계에서 **Dependency·License·SBOM Gate** 기능을 제품 계약·기본 구현·실제 Consumer·운영 기능까지 연결한다. 단순 Interface, 화면 Route, Sample 문자열만으로 완료 처리하지 않는다.</x:v>
      </x:c>
      <x:c r="H518" s="12" t="str">
        <x:v>명령·환경·시간·실제 결과·redaction을 최신 SHA Evidence로 정상·오류·경계·부분 실패·재시도/복구·권한·감사·다중 인스턴스 영향까지 자동 Test와 최신 SHA Evidence로 검증한다.</x:v>
      </x:c>
      <x:c r="I518" s="12" t="str"/>
      <x:c r="J518" s="12" t="str">
        <x:v>all</x:v>
      </x:c>
      <x:c r="K518" s="12" t="str"/>
      <x:c r="L518" s="12" t="str"/>
    </x:row>
    <x:row r="519">
      <x:c r="A519" s="12" t="str">
        <x:v>CPF-QA-D03-VAL-007</x:v>
      </x:c>
      <x:c r="B519" s="12" t="str">
        <x:v>VAL</x:v>
      </x:c>
      <x:c r="C519" s="12" t="str">
        <x:v>WP15</x:v>
      </x:c>
      <x:c r="D519" s="12" t="str">
        <x:v>미검증</x:v>
      </x:c>
      <x:c r="E519" s="12" t="str">
        <x:v>P0</x:v>
      </x:c>
      <x:c r="F519" s="12" t="str">
        <x:v>WAS 동일 JVM E2E</x:v>
      </x:c>
      <x:c r="G519" s="12" t="str">
        <x:v>통합 검증 단계에서 **WAS 동일 JVM E2E** 기능을 제품 계약·기본 구현·실제 Consumer·운영 기능까지 연결한다. 단순 Interface, 화면 Route, Sample 문자열만으로 완료 처리하지 않는다.</x:v>
      </x:c>
      <x:c r="H519" s="12" t="str">
        <x:v>명령·환경·시간·실제 결과·redaction을 최신 SHA Evidence로 정상·오류·경계·부분 실패·재시도/복구·권한·감사·다중 인스턴스 영향까지 자동 Test와 최신 SHA Evidence로 검증한다.</x:v>
      </x:c>
      <x:c r="I519" s="12" t="str"/>
      <x:c r="J519" s="12" t="str">
        <x:v>all</x:v>
      </x:c>
      <x:c r="K519" s="12" t="str"/>
      <x:c r="L519" s="12" t="str"/>
    </x:row>
    <x:row r="520">
      <x:c r="A520" s="12" t="str">
        <x:v>CPF-QA-D03-VAL-008</x:v>
      </x:c>
      <x:c r="B520" s="12" t="str">
        <x:v>VAL</x:v>
      </x:c>
      <x:c r="C520" s="12" t="str">
        <x:v>WP15</x:v>
      </x:c>
      <x:c r="D520" s="12" t="str">
        <x:v>미검증</x:v>
      </x:c>
      <x:c r="E520" s="12" t="str">
        <x:v>P0</x:v>
      </x:c>
      <x:c r="F520" s="12" t="str">
        <x:v>WAS 분리 Runtime E2E</x:v>
      </x:c>
      <x:c r="G520" s="12" t="str">
        <x:v>통합 검증 단계에서 **WAS 분리 Runtime E2E** 기능을 제품 계약·기본 구현·실제 Consumer·운영 기능까지 연결한다. 단순 Interface, 화면 Route, Sample 문자열만으로 완료 처리하지 않는다.</x:v>
      </x:c>
      <x:c r="H520" s="12" t="str">
        <x:v>명령·환경·시간·실제 결과·redaction을 최신 SHA Evidence로 정상·오류·경계·부분 실패·재시도/복구·권한·감사·다중 인스턴스 영향까지 자동 Test와 최신 SHA Evidence로 검증한다.</x:v>
      </x:c>
      <x:c r="I520" s="12" t="str"/>
      <x:c r="J520" s="12" t="str">
        <x:v>all</x:v>
      </x:c>
      <x:c r="K520" s="12" t="str"/>
      <x:c r="L520" s="12" t="str"/>
    </x:row>
    <x:row r="521">
      <x:c r="A521" s="12" t="str">
        <x:v>CPF-QA-D03-VAL-009</x:v>
      </x:c>
      <x:c r="B521" s="12" t="str">
        <x:v>VAL</x:v>
      </x:c>
      <x:c r="C521" s="12" t="str">
        <x:v>WP15</x:v>
      </x:c>
      <x:c r="D521" s="12" t="str">
        <x:v>미검증</x:v>
      </x:c>
      <x:c r="E521" s="12" t="str">
        <x:v>P0</x:v>
      </x:c>
      <x:c r="F521" s="12" t="str">
        <x:v>MariaDB Lifecycle</x:v>
      </x:c>
      <x:c r="G521" s="12" t="str">
        <x:v>통합 검증 단계에서 **MariaDB Lifecycle** 기능을 제품 계약·기본 구현·실제 Consumer·운영 기능까지 연결한다. 단순 Interface, 화면 Route, Sample 문자열만으로 완료 처리하지 않는다.</x:v>
      </x:c>
      <x:c r="H521" s="12" t="str">
        <x:v>명령·환경·시간·실제 결과·redaction을 최신 SHA Evidence로 정상·오류·경계·부분 실패·재시도/복구·권한·감사·다중 인스턴스 영향까지 자동 Test와 최신 SHA Evidence로 검증한다.</x:v>
      </x:c>
      <x:c r="I521" s="12" t="str"/>
      <x:c r="J521" s="12" t="str">
        <x:v>all</x:v>
      </x:c>
      <x:c r="K521" s="12" t="str"/>
      <x:c r="L521" s="12" t="str"/>
    </x:row>
    <x:row r="522">
      <x:c r="A522" s="12" t="str">
        <x:v>CPF-QA-D03-VAL-010</x:v>
      </x:c>
      <x:c r="B522" s="12" t="str">
        <x:v>VAL</x:v>
      </x:c>
      <x:c r="C522" s="12" t="str">
        <x:v>WP15</x:v>
      </x:c>
      <x:c r="D522" s="12" t="str">
        <x:v>미검증</x:v>
      </x:c>
      <x:c r="E522" s="12" t="str">
        <x:v>P0</x:v>
      </x:c>
      <x:c r="F522" s="12" t="str">
        <x:v>Runtime Control Multi-instance</x:v>
      </x:c>
      <x:c r="G522" s="12" t="str">
        <x:v>통합 검증 단계에서 **Runtime Control Multi-instance** 기능을 제품 계약·기본 구현·실제 Consumer·운영 기능까지 연결한다. 단순 Interface, 화면 Route, Sample 문자열만으로 완료 처리하지 않는다.</x:v>
      </x:c>
      <x:c r="H522" s="12" t="str">
        <x:v>명령·환경·시간·실제 결과·redaction을 최신 SHA Evidence로 정상·오류·경계·부분 실패·재시도/복구·권한·감사·다중 인스턴스 영향까지 자동 Test와 최신 SHA Evidence로 검증한다.</x:v>
      </x:c>
      <x:c r="I522" s="12" t="str"/>
      <x:c r="J522" s="12" t="str">
        <x:v>all</x:v>
      </x:c>
      <x:c r="K522" s="12" t="str"/>
      <x:c r="L522" s="12" t="str"/>
    </x:row>
    <x:row r="523">
      <x:c r="A523" s="12" t="str">
        <x:v>CPF-QA-D03-VAL-011</x:v>
      </x:c>
      <x:c r="B523" s="12" t="str">
        <x:v>VAL</x:v>
      </x:c>
      <x:c r="C523" s="12" t="str">
        <x:v>WP15</x:v>
      </x:c>
      <x:c r="D523" s="12" t="str">
        <x:v>미검증</x:v>
      </x:c>
      <x:c r="E523" s="12" t="str">
        <x:v>P0</x:v>
      </x:c>
      <x:c r="F523" s="12" t="str">
        <x:v>Gateway 대용량·timeout·failover</x:v>
      </x:c>
      <x:c r="G523" s="12" t="str">
        <x:v>통합 검증 단계에서 **Gateway 대용량·timeout·failover** 기능을 제품 계약·기본 구현·실제 Consumer·운영 기능까지 연결한다. 단순 Interface, 화면 Route, Sample 문자열만으로 완료 처리하지 않는다.</x:v>
      </x:c>
      <x:c r="H523" s="12" t="str">
        <x:v>명령·환경·시간·실제 결과·redaction을 최신 SHA Evidence로 정상·오류·경계·부분 실패·재시도/복구·권한·감사·다중 인스턴스 영향까지 자동 Test와 최신 SHA Evidence로 검증한다.</x:v>
      </x:c>
      <x:c r="I523" s="12" t="str"/>
      <x:c r="J523" s="12" t="str">
        <x:v>all</x:v>
      </x:c>
      <x:c r="K523" s="12" t="str"/>
      <x:c r="L523" s="12" t="str"/>
    </x:row>
    <x:row r="524">
      <x:c r="A524" s="12" t="str">
        <x:v>CPF-QA-D03-VAL-012</x:v>
      </x:c>
      <x:c r="B524" s="12" t="str">
        <x:v>VAL</x:v>
      </x:c>
      <x:c r="C524" s="12" t="str">
        <x:v>WP15</x:v>
      </x:c>
      <x:c r="D524" s="12" t="str">
        <x:v>미검증</x:v>
      </x:c>
      <x:c r="E524" s="12" t="str">
        <x:v>P0</x:v>
      </x:c>
      <x:c r="F524" s="12" t="str">
        <x:v>Batch Multi-instance·takeover</x:v>
      </x:c>
      <x:c r="G524" s="12" t="str">
        <x:v>통합 검증 단계에서 **Batch Multi-instance·takeover** 기능을 제품 계약·기본 구현·실제 Consumer·운영 기능까지 연결한다. 단순 Interface, 화면 Route, Sample 문자열만으로 완료 처리하지 않는다.</x:v>
      </x:c>
      <x:c r="H524" s="12" t="str">
        <x:v>명령·환경·시간·실제 결과·redaction을 최신 SHA Evidence로 정상·오류·경계·부분 실패·재시도/복구·권한·감사·다중 인스턴스 영향까지 자동 Test와 최신 SHA Evidence로 검증한다.</x:v>
      </x:c>
      <x:c r="I524" s="12" t="str"/>
      <x:c r="J524" s="12" t="str">
        <x:v>all</x:v>
      </x:c>
      <x:c r="K524" s="12" t="str"/>
      <x:c r="L524" s="12" t="str"/>
    </x:row>
    <x:row r="525">
      <x:c r="A525" s="12" t="str">
        <x:v>CPF-QA-D03-VAL-013</x:v>
      </x:c>
      <x:c r="B525" s="12" t="str">
        <x:v>VAL</x:v>
      </x:c>
      <x:c r="C525" s="12" t="str">
        <x:v>WP15</x:v>
      </x:c>
      <x:c r="D525" s="12" t="str">
        <x:v>미검증</x:v>
      </x:c>
      <x:c r="E525" s="12" t="str">
        <x:v>P0</x:v>
      </x:c>
      <x:c r="F525" s="12" t="str">
        <x:v>ADM Browser 권한별 E2E</x:v>
      </x:c>
      <x:c r="G525" s="12" t="str">
        <x:v>통합 검증 단계에서 **ADM Browser 권한별 E2E** 기능을 제품 계약·기본 구현·실제 Consumer·운영 기능까지 연결한다. 단순 Interface, 화면 Route, Sample 문자열만으로 완료 처리하지 않는다.</x:v>
      </x:c>
      <x:c r="H525" s="12" t="str">
        <x:v>명령·환경·시간·실제 결과·redaction을 최신 SHA Evidence로 정상·오류·경계·부분 실패·재시도/복구·권한·감사·다중 인스턴스 영향까지 자동 Test와 최신 SHA Evidence로 검증한다.</x:v>
      </x:c>
      <x:c r="I525" s="12" t="str"/>
      <x:c r="J525" s="12" t="str">
        <x:v>all</x:v>
      </x:c>
      <x:c r="K525" s="12" t="str"/>
      <x:c r="L525" s="12" t="str"/>
    </x:row>
    <x:row r="526">
      <x:c r="A526" s="12" t="str">
        <x:v>CPF-QA-D03-VAL-014</x:v>
      </x:c>
      <x:c r="B526" s="12" t="str">
        <x:v>VAL</x:v>
      </x:c>
      <x:c r="C526" s="12" t="str">
        <x:v>WP15</x:v>
      </x:c>
      <x:c r="D526" s="12" t="str">
        <x:v>미검증</x:v>
      </x:c>
      <x:c r="E526" s="12" t="str">
        <x:v>P0</x:v>
      </x:c>
      <x:c r="F526" s="12" t="str">
        <x:v>Notification Embedded SMTP·Simulator</x:v>
      </x:c>
      <x:c r="G526" s="12" t="str">
        <x:v>통합 검증 단계에서 **Notification Embedded SMTP·Simulator** 기능을 제품 계약·기본 구현·실제 Consumer·운영 기능까지 연결한다. 단순 Interface, 화면 Route, Sample 문자열만으로 완료 처리하지 않는다.</x:v>
      </x:c>
      <x:c r="H526" s="12" t="str">
        <x:v>명령·환경·시간·실제 결과·redaction을 최신 SHA Evidence로 정상·오류·경계·부분 실패·재시도/복구·권한·감사·다중 인스턴스 영향까지 자동 Test와 최신 SHA Evidence로 검증한다.</x:v>
      </x:c>
      <x:c r="I526" s="12" t="str"/>
      <x:c r="J526" s="12" t="str">
        <x:v>all</x:v>
      </x:c>
      <x:c r="K526" s="12" t="str"/>
      <x:c r="L526" s="12" t="str"/>
    </x:row>
    <x:row r="527">
      <x:c r="A527" s="12" t="str">
        <x:v>CPF-QA-D03-VAL-015</x:v>
      </x:c>
      <x:c r="B527" s="12" t="str">
        <x:v>VAL</x:v>
      </x:c>
      <x:c r="C527" s="12" t="str">
        <x:v>WP15</x:v>
      </x:c>
      <x:c r="D527" s="12" t="str">
        <x:v>미검증</x:v>
      </x:c>
      <x:c r="E527" s="12" t="str">
        <x:v>P0</x:v>
      </x:c>
      <x:c r="F527" s="12" t="str">
        <x:v>Reference/EDU executable Matrix</x:v>
      </x:c>
      <x:c r="G527" s="12" t="str">
        <x:v>통합 검증 단계에서 **Reference/EDU executable Matrix** 기능을 제품 계약·기본 구현·실제 Consumer·운영 기능까지 연결한다. 단순 Interface, 화면 Route, Sample 문자열만으로 완료 처리하지 않는다.</x:v>
      </x:c>
      <x:c r="H527" s="12" t="str">
        <x:v>명령·환경·시간·실제 결과·redaction을 최신 SHA Evidence로 정상·오류·경계·부분 실패·재시도/복구·권한·감사·다중 인스턴스 영향까지 자동 Test와 최신 SHA Evidence로 검증한다.</x:v>
      </x:c>
      <x:c r="I527" s="12" t="str"/>
      <x:c r="J527" s="12" t="str">
        <x:v>all</x:v>
      </x:c>
      <x:c r="K527" s="12" t="str"/>
      <x:c r="L527" s="12" t="str"/>
    </x:row>
    <x:row r="528">
      <x:c r="A528" s="12" t="str">
        <x:v>CPF-QA-D03-VAL-016</x:v>
      </x:c>
      <x:c r="B528" s="12" t="str">
        <x:v>VAL</x:v>
      </x:c>
      <x:c r="C528" s="12" t="str">
        <x:v>WP15</x:v>
      </x:c>
      <x:c r="D528" s="12" t="str">
        <x:v>미검증</x:v>
      </x:c>
      <x:c r="E528" s="12" t="str">
        <x:v>P0</x:v>
      </x:c>
      <x:c r="F528" s="12" t="str">
        <x:v>Generator lifecycle</x:v>
      </x:c>
      <x:c r="G528" s="12" t="str">
        <x:v>통합 검증 단계에서 **Generator lifecycle** 기능을 제품 계약·기본 구현·실제 Consumer·운영 기능까지 연결한다. 단순 Interface, 화면 Route, Sample 문자열만으로 완료 처리하지 않는다.</x:v>
      </x:c>
      <x:c r="H528" s="12" t="str">
        <x:v>명령·환경·시간·실제 결과·redaction을 최신 SHA Evidence로 정상·오류·경계·부분 실패·재시도/복구·권한·감사·다중 인스턴스 영향까지 자동 Test와 최신 SHA Evidence로 검증한다.</x:v>
      </x:c>
      <x:c r="I528" s="12" t="str"/>
      <x:c r="J528" s="12" t="str">
        <x:v>all</x:v>
      </x:c>
      <x:c r="K528" s="12" t="str"/>
      <x:c r="L528" s="12" t="str"/>
    </x:row>
    <x:row r="529">
      <x:c r="A529" s="12" t="str">
        <x:v>CPF-QA-D03-VAL-017</x:v>
      </x:c>
      <x:c r="B529" s="12" t="str">
        <x:v>VAL</x:v>
      </x:c>
      <x:c r="C529" s="12" t="str">
        <x:v>WP15</x:v>
      </x:c>
      <x:c r="D529" s="12" t="str">
        <x:v>미검증</x:v>
      </x:c>
      <x:c r="E529" s="12" t="str">
        <x:v>P0</x:v>
      </x:c>
      <x:c r="F529" s="12" t="str">
        <x:v>Evidence exact SHA Gate</x:v>
      </x:c>
      <x:c r="G529" s="12" t="str">
        <x:v>통합 검증 단계에서 **Evidence exact SHA Gate** 기능을 제품 계약·기본 구현·실제 Consumer·운영 기능까지 연결한다. 단순 Interface, 화면 Route, Sample 문자열만으로 완료 처리하지 않는다.</x:v>
      </x:c>
      <x:c r="H529" s="12" t="str">
        <x:v>명령·환경·시간·실제 결과·redaction을 최신 SHA Evidence로 정상·오류·경계·부분 실패·재시도/복구·권한·감사·다중 인스턴스 영향까지 자동 Test와 최신 SHA Evidence로 검증한다.</x:v>
      </x:c>
      <x:c r="I529" s="12" t="str"/>
      <x:c r="J529" s="12" t="str">
        <x:v>all</x:v>
      </x:c>
      <x:c r="K529" s="12" t="str"/>
      <x:c r="L529" s="12" t="str"/>
    </x:row>
    <x:row r="530">
      <x:c r="A530" s="12" t="str">
        <x:v>CPF-QA-D03-VAL-018</x:v>
      </x:c>
      <x:c r="B530" s="12" t="str">
        <x:v>VAL</x:v>
      </x:c>
      <x:c r="C530" s="12" t="str">
        <x:v>WP15</x:v>
      </x:c>
      <x:c r="D530" s="12" t="str">
        <x:v>미검증</x:v>
      </x:c>
      <x:c r="E530" s="12" t="str">
        <x:v>P0</x:v>
      </x:c>
      <x:c r="F530" s="12" t="str">
        <x:v>Current/Handover 정본 갱신</x:v>
      </x:c>
      <x:c r="G530" s="12" t="str">
        <x:v>통합 검증 단계에서 **Current/Handover 정본 갱신** 기능을 제품 계약·기본 구현·실제 Consumer·운영 기능까지 연결한다. 단순 Interface, 화면 Route, Sample 문자열만으로 완료 처리하지 않는다.</x:v>
      </x:c>
      <x:c r="H530" s="12" t="str">
        <x:v>명령·환경·시간·실제 결과·redaction을 최신 SHA Evidence로 정상·오류·경계·부분 실패·재시도/복구·권한·감사·다중 인스턴스 영향까지 자동 Test와 최신 SHA Evidence로 검증한다.</x:v>
      </x:c>
      <x:c r="I530" s="12" t="str"/>
      <x:c r="J530" s="12" t="str">
        <x:v>all</x:v>
      </x:c>
      <x:c r="K530" s="12" t="str"/>
      <x:c r="L530" s="12" t="str"/>
    </x:row>
    <x:row r="531">
      <x:c r="A531" s="12" t="str">
        <x:v>CPF-QA-D03-VAL-019</x:v>
      </x:c>
      <x:c r="B531" s="12" t="str">
        <x:v>VAL</x:v>
      </x:c>
      <x:c r="C531" s="12" t="str">
        <x:v>WP15</x:v>
      </x:c>
      <x:c r="D531" s="12" t="str">
        <x:v>미검증</x:v>
      </x:c>
      <x:c r="E531" s="12" t="str">
        <x:v>P0</x:v>
      </x:c>
      <x:c r="F531" s="12" t="str">
        <x:v>Repository Garbage 정리</x:v>
      </x:c>
      <x:c r="G531" s="12" t="str">
        <x:v>통합 검증 단계에서 **Repository Garbage 정리** 기능을 제품 계약·기본 구현·실제 Consumer·운영 기능까지 연결한다. 단순 Interface, 화면 Route, Sample 문자열만으로 완료 처리하지 않는다.</x:v>
      </x:c>
      <x:c r="H531" s="12" t="str">
        <x:v>명령·환경·시간·실제 결과·redaction을 최신 SHA Evidence로 정상·오류·경계·부분 실패·재시도/복구·권한·감사·다중 인스턴스 영향까지 자동 Test와 최신 SHA Evidence로 검증한다.</x:v>
      </x:c>
      <x:c r="I531" s="12" t="str"/>
      <x:c r="J531" s="12" t="str">
        <x:v>all</x:v>
      </x:c>
      <x:c r="K531" s="12" t="str"/>
      <x:c r="L531" s="12" t="str"/>
    </x:row>
    <x:row r="532">
      <x:c r="A532" s="12" t="str">
        <x:v>CPF-QA-D03-VAL-020</x:v>
      </x:c>
      <x:c r="B532" s="12" t="str">
        <x:v>VAL</x:v>
      </x:c>
      <x:c r="C532" s="12" t="str">
        <x:v>WP15</x:v>
      </x:c>
      <x:c r="D532" s="12" t="str">
        <x:v>미검증</x:v>
      </x:c>
      <x:c r="E532" s="12" t="str">
        <x:v>P0</x:v>
      </x:c>
      <x:c r="F532" s="12" t="str">
        <x:v>중간 Overlay·bak·tmp·log 제거</x:v>
      </x:c>
      <x:c r="G532" s="12" t="str">
        <x:v>통합 검증 단계에서 **중간 Overlay·bak·tmp·log 제거** 기능을 제품 계약·기본 구현·실제 Consumer·운영 기능까지 연결한다. 단순 Interface, 화면 Route, Sample 문자열만으로 완료 처리하지 않는다.</x:v>
      </x:c>
      <x:c r="H532" s="12" t="str">
        <x:v>명령·환경·시간·실제 결과·redaction을 최신 SHA Evidence로 정상·오류·경계·부분 실패·재시도/복구·권한·감사·다중 인스턴스 영향까지 자동 Test와 최신 SHA Evidence로 검증한다.</x:v>
      </x:c>
      <x:c r="I532" s="12" t="str"/>
      <x:c r="J532" s="12" t="str">
        <x:v>all</x:v>
      </x:c>
      <x:c r="K532" s="12" t="str"/>
      <x:c r="L532" s="12" t="str"/>
    </x:row>
    <x:row r="533">
      <x:c r="A533" s="12" t="str">
        <x:v>CPF-QA-D03-VAL-021</x:v>
      </x:c>
      <x:c r="B533" s="12" t="str">
        <x:v>VAL</x:v>
      </x:c>
      <x:c r="C533" s="12" t="str">
        <x:v>WP15</x:v>
      </x:c>
      <x:c r="D533" s="12" t="str">
        <x:v>미검증</x:v>
      </x:c>
      <x:c r="E533" s="12" t="str">
        <x:v>P0</x:v>
      </x:c>
      <x:c r="F533" s="12" t="str">
        <x:v>완료 기능 영향도 회귀 자동 선택</x:v>
      </x:c>
      <x:c r="G533" s="12" t="str">
        <x:v>통합 검증 단계에서 **완료 기능 영향도 회귀 자동 선택** 기능을 제품 계약·기본 구현·실제 Consumer·운영 기능까지 연결한다. 단순 Interface, 화면 Route, Sample 문자열만으로 완료 처리하지 않는다.</x:v>
      </x:c>
      <x:c r="H533" s="12" t="str">
        <x:v>명령·환경·시간·실제 결과·redaction을 최신 SHA Evidence로 정상·오류·경계·부분 실패·재시도/복구·권한·감사·다중 인스턴스 영향까지 자동 Test와 최신 SHA Evidence로 검증한다.</x:v>
      </x:c>
      <x:c r="I533" s="12" t="str"/>
      <x:c r="J533" s="12" t="str">
        <x:v>all</x:v>
      </x:c>
      <x:c r="K533" s="12" t="str"/>
      <x:c r="L533" s="12" t="str"/>
    </x:row>
    <x:row r="534">
      <x:c r="A534" s="12" t="str">
        <x:v>CPF-QA-D03-VAL-022</x:v>
      </x:c>
      <x:c r="B534" s="12" t="str">
        <x:v>VAL</x:v>
      </x:c>
      <x:c r="C534" s="12" t="str">
        <x:v>WP15</x:v>
      </x:c>
      <x:c r="D534" s="12" t="str">
        <x:v>미검증</x:v>
      </x:c>
      <x:c r="E534" s="12" t="str">
        <x:v>P0</x:v>
      </x:c>
      <x:c r="F534" s="12" t="str">
        <x:v>Requirement→구현 추적</x:v>
      </x:c>
      <x:c r="G534" s="12" t="str">
        <x:v>통합 검증 단계에서 **Requirement→구현 추적** 기능을 제품 계약·기본 구현·실제 Consumer·운영 기능까지 연결한다. 단순 Interface, 화면 Route, Sample 문자열만으로 완료 처리하지 않는다.</x:v>
      </x:c>
      <x:c r="H534" s="12" t="str">
        <x:v>명령·환경·시간·실제 결과·redaction을 최신 SHA Evidence로 정상·오류·경계·부분 실패·재시도/복구·권한·감사·다중 인스턴스 영향까지 자동 Test와 최신 SHA Evidence로 검증한다.</x:v>
      </x:c>
      <x:c r="I534" s="12" t="str"/>
      <x:c r="J534" s="12" t="str">
        <x:v>all</x:v>
      </x:c>
      <x:c r="K534" s="12" t="str"/>
      <x:c r="L534" s="12" t="str"/>
    </x:row>
    <x:row r="535">
      <x:c r="A535" s="12" t="str">
        <x:v>CPF-QA-D03-VAL-023</x:v>
      </x:c>
      <x:c r="B535" s="12" t="str">
        <x:v>VAL</x:v>
      </x:c>
      <x:c r="C535" s="12" t="str">
        <x:v>WP15</x:v>
      </x:c>
      <x:c r="D535" s="12" t="str">
        <x:v>미검증</x:v>
      </x:c>
      <x:c r="E535" s="12" t="str">
        <x:v>P0</x:v>
      </x:c>
      <x:c r="F535" s="12" t="str">
        <x:v>구현→Requirement·Owner·Consumer 역추적</x:v>
      </x:c>
      <x:c r="G535" s="12" t="str">
        <x:v>통합 검증 단계에서 **구현→Requirement·Owner·Consumer 역추적** 기능을 제품 계약·기본 구현·실제 Consumer·운영 기능까지 연결한다. 단순 Interface, 화면 Route, Sample 문자열만으로 완료 처리하지 않는다.</x:v>
      </x:c>
      <x:c r="H535" s="12" t="str">
        <x:v>명령·환경·시간·실제 결과·redaction을 최신 SHA Evidence로 정상·오류·경계·부분 실패·재시도/복구·권한·감사·다중 인스턴스 영향까지 자동 Test와 최신 SHA Evidence로 검증한다.</x:v>
      </x:c>
      <x:c r="I535" s="12" t="str"/>
      <x:c r="J535" s="12" t="str">
        <x:v>all</x:v>
      </x:c>
      <x:c r="K535" s="12" t="str"/>
      <x:c r="L535" s="12" t="str"/>
    </x:row>
    <x:row r="536">
      <x:c r="A536" s="12" t="str">
        <x:v>CPF-QA-D03-VAL-024</x:v>
      </x:c>
      <x:c r="B536" s="12" t="str">
        <x:v>VAL</x:v>
      </x:c>
      <x:c r="C536" s="12" t="str">
        <x:v>WP15</x:v>
      </x:c>
      <x:c r="D536" s="12" t="str">
        <x:v>미검증</x:v>
      </x:c>
      <x:c r="E536" s="12" t="str">
        <x:v>P0</x:v>
      </x:c>
      <x:c r="F536" s="12" t="str">
        <x:v>Release Gate와 미검증 차단</x:v>
      </x:c>
      <x:c r="G536" s="12" t="str">
        <x:v>통합 검증 단계에서 **Release Gate와 미검증 차단** 기능을 제품 계약·기본 구현·실제 Consumer·운영 기능까지 연결한다. 단순 Interface, 화면 Route, Sample 문자열만으로 완료 처리하지 않는다.</x:v>
      </x:c>
      <x:c r="H536" s="12" t="str">
        <x:v>명령·환경·시간·실제 결과·redaction을 최신 SHA Evidence로 정상·오류·경계·부분 실패·재시도/복구·권한·감사·다중 인스턴스 영향까지 자동 Test와 최신 SHA Evidence로 검증한다.</x:v>
      </x:c>
      <x:c r="I536" s="12" t="str"/>
      <x:c r="J536" s="12" t="str">
        <x:v>all</x:v>
      </x:c>
      <x:c r="K536" s="12" t="str"/>
      <x:c r="L536" s="12" t="str"/>
    </x:row>
    <x:row r="537">
      <x:c r="A537" s="12" t="str">
        <x:v>CPF-QA-D04-ADMRT-001</x:v>
      </x:c>
      <x:c r="B537" s="12" t="str">
        <x:v>ADMRT</x:v>
      </x:c>
      <x:c r="C537" s="12" t="str">
        <x:v>WP16</x:v>
      </x:c>
      <x:c r="D537" s="12" t="str">
        <x:v>재확인 필요</x:v>
      </x:c>
      <x:c r="E537" s="12" t="str">
        <x:v>P1</x:v>
      </x:c>
      <x:c r="F537" s="12" t="str">
        <x:v>공통코드 — 현재 상태 조회와 정식 관리 객체</x:v>
      </x:c>
      <x:c r="G537" s="12" t="str">
        <x:v>공통코드는 단순 문자열·화면 표시가 아니라 Owner가 명확한 정식 관리 객체여야 한다. ADM에서 Global·Environment·Domain·Group·Instance 기준 검색·Paging·상세조회가 가능하고 코드 그룹/값·시행기간·비활성·Cache Version의 현재 값, Version, 갱신 시각, Owner, 상태를 조회한다.</x:v>
      </x:c>
      <x:c r="H537" s="12" t="str">
        <x:v>Source·DB·API·ADM 화면에서 동일 ID/Version을 사용하고 빈 결과·오류·부분 조회를 구분한다.</x:v>
      </x:c>
      <x:c r="I537" s="12" t="str">
        <x:v>Owner=cpf-common / cpf-admin; Consumer=공통코드 조회 Consumer·업무 Domain; Scope=Global·Environment·Domain·Group·Instance</x:v>
      </x:c>
      <x:c r="J537" s="12" t="str">
        <x:v>Runtime Control Plane, Approval, Audit, Runtime Registry, Migration</x:v>
      </x:c>
      <x:c r="K537" s="12" t="str">
        <x:v>기존 정상 CRUD·조회·업무 Consumer·Local/Remote·Batch 실행 회귀 금지</x:v>
      </x:c>
      <x:c r="L537" s="12" t="str">
        <x:v>WAS+MariaDB 우선; 미설치 외부 Provider는 Simulator 후 실제 연동 미검증</x:v>
      </x:c>
    </x:row>
    <x:row r="538">
      <x:c r="A538" s="12" t="str">
        <x:v>CPF-QA-D04-ADMRT-002</x:v>
      </x:c>
      <x:c r="B538" s="12" t="str">
        <x:v>ADMRT</x:v>
      </x:c>
      <x:c r="C538" s="12" t="str">
        <x:v>WP16</x:v>
      </x:c>
      <x:c r="D538" s="12" t="str">
        <x:v>재확인 필요</x:v>
      </x:c>
      <x:c r="E538" s="12" t="str">
        <x:v>P0</x:v>
      </x:c>
      <x:c r="F538" s="12" t="str">
        <x:v>공통코드 — 대상 선택과 Snapshot</x:v>
      </x:c>
      <x:c r="G538" s="12" t="str">
        <x:v>공통코드 변경 대상은 Global·Environment·Domain·Group·Instance로 선택하며 실행 전 고정 Target Snapshot을 생성한다. Dynamic Selector를 사용한 경우 Preview 시점과 승인·실행 시점의 대상 변화를 탐지하고 재승인을 요구한다.</x:v>
      </x:c>
      <x:c r="H538" s="12" t="str">
        <x:v>0건 대상·과다 대상·교차 Tenant/Domain 대상은 차단하고 Snapshot Hash와 대상 수가 Evidence에 남는다.</x:v>
      </x:c>
      <x:c r="I538" s="12" t="str">
        <x:v>Owner=cpf-common / cpf-admin; Consumer=공통코드 조회 Consumer·업무 Domain; Scope=Global·Environment·Domain·Group·Instance</x:v>
      </x:c>
      <x:c r="J538" s="12" t="str">
        <x:v>Runtime Control Plane, Approval, Audit, Runtime Registry, Migration</x:v>
      </x:c>
      <x:c r="K538" s="12" t="str">
        <x:v>기존 정상 CRUD·조회·업무 Consumer·Local/Remote·Batch 실행 회귀 금지</x:v>
      </x:c>
      <x:c r="L538" s="12" t="str">
        <x:v>WAS+MariaDB 우선; 미설치 외부 Provider는 Simulator 후 실제 연동 미검증</x:v>
      </x:c>
    </x:row>
    <x:row r="539">
      <x:c r="A539" s="12" t="str">
        <x:v>CPF-QA-D04-ADMRT-003</x:v>
      </x:c>
      <x:c r="B539" s="12" t="str">
        <x:v>ADMRT</x:v>
      </x:c>
      <x:c r="C539" s="12" t="str">
        <x:v>WP16</x:v>
      </x:c>
      <x:c r="D539" s="12" t="str">
        <x:v>재확인 필요</x:v>
      </x:c>
      <x:c r="E539" s="12" t="str">
        <x:v>P0</x:v>
      </x:c>
      <x:c r="F539" s="12" t="str">
        <x:v>공통코드 — Preview·권한·사유·승인</x:v>
      </x:c>
      <x:c r="G539" s="12" t="str">
        <x:v>공통코드 변경은 변경 전/후 값, 영향 Consumer, 재기동 여부, 예상 대상 수, 위험도, Rollback 가능 여부를 Preview한다. 권한·사유·고위험 승인·Break Glass 상한을 적용한다.</x:v>
      </x:c>
      <x:c r="H539" s="12" t="str">
        <x:v>권한 없음·사유 없음·승인 만료·Self Approval·상태 변경 경쟁 조건에서 Fail-Closed 한다.</x:v>
      </x:c>
      <x:c r="I539" s="12" t="str">
        <x:v>Owner=cpf-common / cpf-admin; Consumer=공통코드 조회 Consumer·업무 Domain; Scope=Global·Environment·Domain·Group·Instance</x:v>
      </x:c>
      <x:c r="J539" s="12" t="str">
        <x:v>Runtime Control Plane, Approval, Audit, Runtime Registry, Migration</x:v>
      </x:c>
      <x:c r="K539" s="12" t="str">
        <x:v>기존 정상 CRUD·조회·업무 Consumer·Local/Remote·Batch 실행 회귀 금지</x:v>
      </x:c>
      <x:c r="L539" s="12" t="str">
        <x:v>WAS+MariaDB 우선; 미설치 외부 Provider는 Simulator 후 실제 연동 미검증</x:v>
      </x:c>
    </x:row>
    <x:row r="540">
      <x:c r="A540" s="12" t="str">
        <x:v>CPF-QA-D04-ADMRT-004</x:v>
      </x:c>
      <x:c r="B540" s="12" t="str">
        <x:v>ADMRT</x:v>
      </x:c>
      <x:c r="C540" s="12" t="str">
        <x:v>WP16</x:v>
      </x:c>
      <x:c r="D540" s="12" t="str">
        <x:v>재확인 필요</x:v>
      </x:c>
      <x:c r="E540" s="12" t="str">
        <x:v>P0</x:v>
      </x:c>
      <x:c r="F540" s="12" t="str">
        <x:v>공통코드 — Desired·Delivery·ACK·Actual·Drift</x:v>
      </x:c>
      <x:c r="G540" s="12" t="str">
        <x:v>공통코드 변경은 DB 저장이나 현재 JVM 메모리 변경으로 끝내지 않는다. Desired Version을 생성하고 대상별 Delivery, ACK, Actual Version/Hash, 적용 시각, 실패 원인을 수집하여 Drift와 Backlog를 조회한다.</x:v>
      </x:c>
      <x:c r="H540" s="12" t="str">
        <x:v>2개 이상 Instance에서 전체/부분 성공·Offline·중복·역전 Delivery를 검증하고 전체 성공 오판이 없어야 한다.</x:v>
      </x:c>
      <x:c r="I540" s="12" t="str">
        <x:v>Owner=cpf-common / cpf-admin; Consumer=공통코드 조회 Consumer·업무 Domain; Scope=Global·Environment·Domain·Group·Instance</x:v>
      </x:c>
      <x:c r="J540" s="12" t="str">
        <x:v>Runtime Control Plane, Approval, Audit, Runtime Registry, Migration</x:v>
      </x:c>
      <x:c r="K540" s="12" t="str">
        <x:v>기존 정상 CRUD·조회·업무 Consumer·Local/Remote·Batch 실행 회귀 금지</x:v>
      </x:c>
      <x:c r="L540" s="12" t="str">
        <x:v>WAS+MariaDB 우선; 미설치 외부 Provider는 Simulator 후 실제 연동 미검증</x:v>
      </x:c>
    </x:row>
    <x:row r="541">
      <x:c r="A541" s="12" t="str">
        <x:v>CPF-QA-D04-ADMRT-005</x:v>
      </x:c>
      <x:c r="B541" s="12" t="str">
        <x:v>ADMRT</x:v>
      </x:c>
      <x:c r="C541" s="12" t="str">
        <x:v>WP16</x:v>
      </x:c>
      <x:c r="D541" s="12" t="str">
        <x:v>재확인 필요</x:v>
      </x:c>
      <x:c r="E541" s="12" t="str">
        <x:v>P0</x:v>
      </x:c>
      <x:c r="F541" s="12" t="str">
        <x:v>공통코드 — 멱등성·동시성·부분 실패</x:v>
      </x:c>
      <x:c r="G541" s="12" t="str">
        <x:v>공통코드 변경은 operationId, request hash, expectedVersion/CAS를 사용한다. 동일 요청 재시도는 Side Effect 1회, 동일 operationId의 다른 Payload는 409, 대상 일부 실패는 PARTIAL/UNKNOWN_RESULT로 보존한다.</x:v>
      </x:c>
      <x:c r="H541" s="12" t="str">
        <x:v>응답 유실·Controller 재시작·Agent 재시작·DB Timeout·동시 변경에서 중복 적용과 Lost Update가 없다.</x:v>
      </x:c>
      <x:c r="I541" s="12" t="str">
        <x:v>Owner=cpf-common / cpf-admin; Consumer=공통코드 조회 Consumer·업무 Domain; Scope=Global·Environment·Domain·Group·Instance</x:v>
      </x:c>
      <x:c r="J541" s="12" t="str">
        <x:v>Runtime Control Plane, Approval, Audit, Runtime Registry, Migration</x:v>
      </x:c>
      <x:c r="K541" s="12" t="str">
        <x:v>기존 정상 CRUD·조회·업무 Consumer·Local/Remote·Batch 실행 회귀 금지</x:v>
      </x:c>
      <x:c r="L541" s="12" t="str">
        <x:v>WAS+MariaDB 우선; 미설치 외부 Provider는 Simulator 후 실제 연동 미검증</x:v>
      </x:c>
    </x:row>
    <x:row r="542">
      <x:c r="A542" s="12" t="str">
        <x:v>CPF-QA-D04-ADMRT-006</x:v>
      </x:c>
      <x:c r="B542" s="12" t="str">
        <x:v>ADMRT</x:v>
      </x:c>
      <x:c r="C542" s="12" t="str">
        <x:v>WP16</x:v>
      </x:c>
      <x:c r="D542" s="12" t="str">
        <x:v>재확인 필요</x:v>
      </x:c>
      <x:c r="E542" s="12" t="str">
        <x:v>P0</x:v>
      </x:c>
      <x:c r="F542" s="12" t="str">
        <x:v>공통코드 — Retry·Cancel·Rollback·Reconcile</x:v>
      </x:c>
      <x:c r="G542" s="12" t="str">
        <x:v>공통코드는 실패 대상 Retry, 예약 변경 Cancel, Last Good Version Rollback 또는 승인된 Forward Recovery를 제공한다. Offline Instance 재접속과 Process 재기동 시 최신 Snapshot으로 Reconcile하고 Drift를 복구한다.</x:v>
      </x:c>
      <x:c r="H542" s="12" t="str">
        <x:v>Rollback 불가 변경을 성공으로 위장하지 않고, 자동/수동 복구 결과와 대상별 최종 상태를 추적한다.</x:v>
      </x:c>
      <x:c r="I542" s="12" t="str">
        <x:v>Owner=cpf-common / cpf-admin; Consumer=공통코드 조회 Consumer·업무 Domain; Scope=Global·Environment·Domain·Group·Instance</x:v>
      </x:c>
      <x:c r="J542" s="12" t="str">
        <x:v>Runtime Control Plane, Approval, Audit, Runtime Registry, Migration</x:v>
      </x:c>
      <x:c r="K542" s="12" t="str">
        <x:v>기존 정상 CRUD·조회·업무 Consumer·Local/Remote·Batch 실행 회귀 금지</x:v>
      </x:c>
      <x:c r="L542" s="12" t="str">
        <x:v>WAS+MariaDB 우선; 미설치 외부 Provider는 Simulator 후 실제 연동 미검증</x:v>
      </x:c>
    </x:row>
    <x:row r="543">
      <x:c r="A543" s="12" t="str">
        <x:v>CPF-QA-D04-ADMRT-007</x:v>
      </x:c>
      <x:c r="B543" s="12" t="str">
        <x:v>ADMRT</x:v>
      </x:c>
      <x:c r="C543" s="12" t="str">
        <x:v>WP16</x:v>
      </x:c>
      <x:c r="D543" s="12" t="str">
        <x:v>재확인 필요</x:v>
      </x:c>
      <x:c r="E543" s="12" t="str">
        <x:v>P1</x:v>
      </x:c>
      <x:c r="F543" s="12" t="str">
        <x:v>공통코드 — 보안·감사·Test·Evidence</x:v>
      </x:c>
      <x:c r="G543" s="12" t="str">
        <x:v>공통코드 조회·변경·복구는 민감정보 마스킹, Tenant/Domain 격리, 위험 조치 감사, 변경 전후 Hash, 결과·실패 기록을 제공한다. Public API/SPI·Consumer·DB·UI·OpenAPI·JavaDoc·EDU·자동 Test·최신 SHA Evidence를 연결한다.</x:v>
      </x:c>
      <x:c r="H543" s="12" t="str">
        <x:v>화면·Interface·YAML·Mock·Static PASS만으로 완료하지 않으며 정상/오류/경계/다중 Instance/재기동 시나리오를 실행한다.</x:v>
      </x:c>
      <x:c r="I543" s="12" t="str">
        <x:v>Owner=cpf-common / cpf-admin; Consumer=공통코드 조회 Consumer·업무 Domain; Scope=Global·Environment·Domain·Group·Instance</x:v>
      </x:c>
      <x:c r="J543" s="12" t="str">
        <x:v>Runtime Control Plane, Approval, Audit, Runtime Registry, Migration</x:v>
      </x:c>
      <x:c r="K543" s="12" t="str">
        <x:v>기존 정상 CRUD·조회·업무 Consumer·Local/Remote·Batch 실행 회귀 금지</x:v>
      </x:c>
      <x:c r="L543" s="12" t="str">
        <x:v>WAS+MariaDB 우선; 미설치 외부 Provider는 Simulator 후 실제 연동 미검증</x:v>
      </x:c>
    </x:row>
    <x:row r="544">
      <x:c r="A544" s="12" t="str">
        <x:v>CPF-QA-D04-ADMRT-008</x:v>
      </x:c>
      <x:c r="B544" s="12" t="str">
        <x:v>ADMRT</x:v>
      </x:c>
      <x:c r="C544" s="12" t="str">
        <x:v>WP16</x:v>
      </x:c>
      <x:c r="D544" s="12" t="str">
        <x:v>재확인 필요</x:v>
      </x:c>
      <x:c r="E544" s="12" t="str">
        <x:v>P1</x:v>
      </x:c>
      <x:c r="F544" s="12" t="str">
        <x:v>메시지·응답코드 — 현재 상태 조회와 정식 관리 객체</x:v>
      </x:c>
      <x:c r="G544" s="12" t="str">
        <x:v>메시지·응답코드는 단순 문자열·화면 표시가 아니라 Owner가 명확한 정식 관리 객체여야 한다. ADM에서 Global·Environment·Domain·Group·Instance 기준 검색·Paging·상세조회가 가능하고 다국어 메시지·응답코드 Mapping·참조 무결성의 현재 값, Version, 갱신 시각, Owner, 상태를 조회한다.</x:v>
      </x:c>
      <x:c r="H544" s="12" t="str">
        <x:v>Source·DB·API·ADM 화면에서 동일 ID/Version을 사용하고 빈 결과·오류·부분 조회를 구분한다.</x:v>
      </x:c>
      <x:c r="I544" s="12" t="str">
        <x:v>Owner=cpf-common / cpf-admin; Consumer=API 오류·정상 응답 Consumer; Scope=Global·Environment·Domain·Group·Instance</x:v>
      </x:c>
      <x:c r="J544" s="12" t="str">
        <x:v>Runtime Control Plane, Approval, Audit, Runtime Registry, Migration</x:v>
      </x:c>
      <x:c r="K544" s="12" t="str">
        <x:v>기존 정상 CRUD·조회·업무 Consumer·Local/Remote·Batch 실행 회귀 금지</x:v>
      </x:c>
      <x:c r="L544" s="12" t="str">
        <x:v>WAS+MariaDB 우선; 미설치 외부 Provider는 Simulator 후 실제 연동 미검증</x:v>
      </x:c>
    </x:row>
    <x:row r="545">
      <x:c r="A545" s="12" t="str">
        <x:v>CPF-QA-D04-ADMRT-009</x:v>
      </x:c>
      <x:c r="B545" s="12" t="str">
        <x:v>ADMRT</x:v>
      </x:c>
      <x:c r="C545" s="12" t="str">
        <x:v>WP16</x:v>
      </x:c>
      <x:c r="D545" s="12" t="str">
        <x:v>재확인 필요</x:v>
      </x:c>
      <x:c r="E545" s="12" t="str">
        <x:v>P0</x:v>
      </x:c>
      <x:c r="F545" s="12" t="str">
        <x:v>메시지·응답코드 — 대상 선택과 Snapshot</x:v>
      </x:c>
      <x:c r="G545" s="12" t="str">
        <x:v>메시지·응답코드 변경 대상은 Global·Environment·Domain·Group·Instance로 선택하며 실행 전 고정 Target Snapshot을 생성한다. Dynamic Selector를 사용한 경우 Preview 시점과 승인·실행 시점의 대상 변화를 탐지하고 재승인을 요구한다.</x:v>
      </x:c>
      <x:c r="H545" s="12" t="str">
        <x:v>0건 대상·과다 대상·교차 Tenant/Domain 대상은 차단하고 Snapshot Hash와 대상 수가 Evidence에 남는다.</x:v>
      </x:c>
      <x:c r="I545" s="12" t="str">
        <x:v>Owner=cpf-common / cpf-admin; Consumer=API 오류·정상 응답 Consumer; Scope=Global·Environment·Domain·Group·Instance</x:v>
      </x:c>
      <x:c r="J545" s="12" t="str">
        <x:v>Runtime Control Plane, Approval, Audit, Runtime Registry, Migration</x:v>
      </x:c>
      <x:c r="K545" s="12" t="str">
        <x:v>기존 정상 CRUD·조회·업무 Consumer·Local/Remote·Batch 실행 회귀 금지</x:v>
      </x:c>
      <x:c r="L545" s="12" t="str">
        <x:v>WAS+MariaDB 우선; 미설치 외부 Provider는 Simulator 후 실제 연동 미검증</x:v>
      </x:c>
    </x:row>
    <x:row r="546">
      <x:c r="A546" s="12" t="str">
        <x:v>CPF-QA-D04-ADMRT-010</x:v>
      </x:c>
      <x:c r="B546" s="12" t="str">
        <x:v>ADMRT</x:v>
      </x:c>
      <x:c r="C546" s="12" t="str">
        <x:v>WP16</x:v>
      </x:c>
      <x:c r="D546" s="12" t="str">
        <x:v>재확인 필요</x:v>
      </x:c>
      <x:c r="E546" s="12" t="str">
        <x:v>P0</x:v>
      </x:c>
      <x:c r="F546" s="12" t="str">
        <x:v>메시지·응답코드 — Preview·권한·사유·승인</x:v>
      </x:c>
      <x:c r="G546" s="12" t="str">
        <x:v>메시지·응답코드 변경은 변경 전/후 값, 영향 Consumer, 재기동 여부, 예상 대상 수, 위험도, Rollback 가능 여부를 Preview한다. 권한·사유·고위험 승인·Break Glass 상한을 적용한다.</x:v>
      </x:c>
      <x:c r="H546" s="12" t="str">
        <x:v>권한 없음·사유 없음·승인 만료·Self Approval·상태 변경 경쟁 조건에서 Fail-Closed 한다.</x:v>
      </x:c>
      <x:c r="I546" s="12" t="str">
        <x:v>Owner=cpf-common / cpf-admin; Consumer=API 오류·정상 응답 Consumer; Scope=Global·Environment·Domain·Group·Instance</x:v>
      </x:c>
      <x:c r="J546" s="12" t="str">
        <x:v>Runtime Control Plane, Approval, Audit, Runtime Registry, Migration</x:v>
      </x:c>
      <x:c r="K546" s="12" t="str">
        <x:v>기존 정상 CRUD·조회·업무 Consumer·Local/Remote·Batch 실행 회귀 금지</x:v>
      </x:c>
      <x:c r="L546" s="12" t="str">
        <x:v>WAS+MariaDB 우선; 미설치 외부 Provider는 Simulator 후 실제 연동 미검증</x:v>
      </x:c>
    </x:row>
    <x:row r="547">
      <x:c r="A547" s="12" t="str">
        <x:v>CPF-QA-D04-ADMRT-011</x:v>
      </x:c>
      <x:c r="B547" s="12" t="str">
        <x:v>ADMRT</x:v>
      </x:c>
      <x:c r="C547" s="12" t="str">
        <x:v>WP16</x:v>
      </x:c>
      <x:c r="D547" s="12" t="str">
        <x:v>재확인 필요</x:v>
      </x:c>
      <x:c r="E547" s="12" t="str">
        <x:v>P0</x:v>
      </x:c>
      <x:c r="F547" s="12" t="str">
        <x:v>메시지·응답코드 — Desired·Delivery·ACK·Actual·Drift</x:v>
      </x:c>
      <x:c r="G547" s="12" t="str">
        <x:v>메시지·응답코드 변경은 DB 저장이나 현재 JVM 메모리 변경으로 끝내지 않는다. Desired Version을 생성하고 대상별 Delivery, ACK, Actual Version/Hash, 적용 시각, 실패 원인을 수집하여 Drift와 Backlog를 조회한다.</x:v>
      </x:c>
      <x:c r="H547" s="12" t="str">
        <x:v>2개 이상 Instance에서 전체/부분 성공·Offline·중복·역전 Delivery를 검증하고 전체 성공 오판이 없어야 한다.</x:v>
      </x:c>
      <x:c r="I547" s="12" t="str">
        <x:v>Owner=cpf-common / cpf-admin; Consumer=API 오류·정상 응답 Consumer; Scope=Global·Environment·Domain·Group·Instance</x:v>
      </x:c>
      <x:c r="J547" s="12" t="str">
        <x:v>Runtime Control Plane, Approval, Audit, Runtime Registry, Migration</x:v>
      </x:c>
      <x:c r="K547" s="12" t="str">
        <x:v>기존 정상 CRUD·조회·업무 Consumer·Local/Remote·Batch 실행 회귀 금지</x:v>
      </x:c>
      <x:c r="L547" s="12" t="str">
        <x:v>WAS+MariaDB 우선; 미설치 외부 Provider는 Simulator 후 실제 연동 미검증</x:v>
      </x:c>
    </x:row>
    <x:row r="548">
      <x:c r="A548" s="12" t="str">
        <x:v>CPF-QA-D04-ADMRT-012</x:v>
      </x:c>
      <x:c r="B548" s="12" t="str">
        <x:v>ADMRT</x:v>
      </x:c>
      <x:c r="C548" s="12" t="str">
        <x:v>WP16</x:v>
      </x:c>
      <x:c r="D548" s="12" t="str">
        <x:v>재확인 필요</x:v>
      </x:c>
      <x:c r="E548" s="12" t="str">
        <x:v>P0</x:v>
      </x:c>
      <x:c r="F548" s="12" t="str">
        <x:v>메시지·응답코드 — 멱등성·동시성·부분 실패</x:v>
      </x:c>
      <x:c r="G548" s="12" t="str">
        <x:v>메시지·응답코드 변경은 operationId, request hash, expectedVersion/CAS를 사용한다. 동일 요청 재시도는 Side Effect 1회, 동일 operationId의 다른 Payload는 409, 대상 일부 실패는 PARTIAL/UNKNOWN_RESULT로 보존한다.</x:v>
      </x:c>
      <x:c r="H548" s="12" t="str">
        <x:v>응답 유실·Controller 재시작·Agent 재시작·DB Timeout·동시 변경에서 중복 적용과 Lost Update가 없다.</x:v>
      </x:c>
      <x:c r="I548" s="12" t="str">
        <x:v>Owner=cpf-common / cpf-admin; Consumer=API 오류·정상 응답 Consumer; Scope=Global·Environment·Domain·Group·Instance</x:v>
      </x:c>
      <x:c r="J548" s="12" t="str">
        <x:v>Runtime Control Plane, Approval, Audit, Runtime Registry, Migration</x:v>
      </x:c>
      <x:c r="K548" s="12" t="str">
        <x:v>기존 정상 CRUD·조회·업무 Consumer·Local/Remote·Batch 실행 회귀 금지</x:v>
      </x:c>
      <x:c r="L548" s="12" t="str">
        <x:v>WAS+MariaDB 우선; 미설치 외부 Provider는 Simulator 후 실제 연동 미검증</x:v>
      </x:c>
    </x:row>
    <x:row r="549">
      <x:c r="A549" s="12" t="str">
        <x:v>CPF-QA-D04-ADMRT-013</x:v>
      </x:c>
      <x:c r="B549" s="12" t="str">
        <x:v>ADMRT</x:v>
      </x:c>
      <x:c r="C549" s="12" t="str">
        <x:v>WP16</x:v>
      </x:c>
      <x:c r="D549" s="12" t="str">
        <x:v>재확인 필요</x:v>
      </x:c>
      <x:c r="E549" s="12" t="str">
        <x:v>P0</x:v>
      </x:c>
      <x:c r="F549" s="12" t="str">
        <x:v>메시지·응답코드 — Retry·Cancel·Rollback·Reconcile</x:v>
      </x:c>
      <x:c r="G549" s="12" t="str">
        <x:v>메시지·응답코드는 실패 대상 Retry, 예약 변경 Cancel, Last Good Version Rollback 또는 승인된 Forward Recovery를 제공한다. Offline Instance 재접속과 Process 재기동 시 최신 Snapshot으로 Reconcile하고 Drift를 복구한다.</x:v>
      </x:c>
      <x:c r="H549" s="12" t="str">
        <x:v>Rollback 불가 변경을 성공으로 위장하지 않고, 자동/수동 복구 결과와 대상별 최종 상태를 추적한다.</x:v>
      </x:c>
      <x:c r="I549" s="12" t="str">
        <x:v>Owner=cpf-common / cpf-admin; Consumer=API 오류·정상 응답 Consumer; Scope=Global·Environment·Domain·Group·Instance</x:v>
      </x:c>
      <x:c r="J549" s="12" t="str">
        <x:v>Runtime Control Plane, Approval, Audit, Runtime Registry, Migration</x:v>
      </x:c>
      <x:c r="K549" s="12" t="str">
        <x:v>기존 정상 CRUD·조회·업무 Consumer·Local/Remote·Batch 실행 회귀 금지</x:v>
      </x:c>
      <x:c r="L549" s="12" t="str">
        <x:v>WAS+MariaDB 우선; 미설치 외부 Provider는 Simulator 후 실제 연동 미검증</x:v>
      </x:c>
    </x:row>
    <x:row r="550">
      <x:c r="A550" s="12" t="str">
        <x:v>CPF-QA-D04-ADMRT-014</x:v>
      </x:c>
      <x:c r="B550" s="12" t="str">
        <x:v>ADMRT</x:v>
      </x:c>
      <x:c r="C550" s="12" t="str">
        <x:v>WP16</x:v>
      </x:c>
      <x:c r="D550" s="12" t="str">
        <x:v>재확인 필요</x:v>
      </x:c>
      <x:c r="E550" s="12" t="str">
        <x:v>P1</x:v>
      </x:c>
      <x:c r="F550" s="12" t="str">
        <x:v>메시지·응답코드 — 보안·감사·Test·Evidence</x:v>
      </x:c>
      <x:c r="G550" s="12" t="str">
        <x:v>메시지·응답코드 조회·변경·복구는 민감정보 마스킹, Tenant/Domain 격리, 위험 조치 감사, 변경 전후 Hash, 결과·실패 기록을 제공한다. Public API/SPI·Consumer·DB·UI·OpenAPI·JavaDoc·EDU·자동 Test·최신 SHA Evidence를 연결한다.</x:v>
      </x:c>
      <x:c r="H550" s="12" t="str">
        <x:v>화면·Interface·YAML·Mock·Static PASS만으로 완료하지 않으며 정상/오류/경계/다중 Instance/재기동 시나리오를 실행한다.</x:v>
      </x:c>
      <x:c r="I550" s="12" t="str">
        <x:v>Owner=cpf-common / cpf-admin; Consumer=API 오류·정상 응답 Consumer; Scope=Global·Environment·Domain·Group·Instance</x:v>
      </x:c>
      <x:c r="J550" s="12" t="str">
        <x:v>Runtime Control Plane, Approval, Audit, Runtime Registry, Migration</x:v>
      </x:c>
      <x:c r="K550" s="12" t="str">
        <x:v>기존 정상 CRUD·조회·업무 Consumer·Local/Remote·Batch 실행 회귀 금지</x:v>
      </x:c>
      <x:c r="L550" s="12" t="str">
        <x:v>WAS+MariaDB 우선; 미설치 외부 Provider는 Simulator 후 실제 연동 미검증</x:v>
      </x:c>
    </x:row>
    <x:row r="551">
      <x:c r="A551" s="12" t="str">
        <x:v>CPF-QA-D04-ADMRT-015</x:v>
      </x:c>
      <x:c r="B551" s="12" t="str">
        <x:v>ADMRT</x:v>
      </x:c>
      <x:c r="C551" s="12" t="str">
        <x:v>WP16</x:v>
      </x:c>
      <x:c r="D551" s="12" t="str">
        <x:v>재확인 필요</x:v>
      </x:c>
      <x:c r="E551" s="12" t="str">
        <x:v>P1</x:v>
      </x:c>
      <x:c r="F551" s="12" t="str">
        <x:v>설정·Parameter·Feature Flag — 현재 상태 조회와 정식 관리 객체</x:v>
      </x:c>
      <x:c r="G551" s="12" t="str">
        <x:v>설정·Parameter·Feature Flag는 단순 문자열·화면 표시가 아니라 Owner가 명확한 정식 관리 객체여야 한다. ADM에서 Global·Environment·Domain·Group·Instance 기준 검색·Paging·상세조회가 가능하고 자료형·Schema·범위·우선순위·TTL·Restart Required의 현재 값, Version, 갱신 시각, Owner, 상태를 조회한다.</x:v>
      </x:c>
      <x:c r="H551" s="12" t="str">
        <x:v>Source·DB·API·ADM 화면에서 동일 ID/Version을 사용하고 빈 결과·오류·부분 조회를 구분한다.</x:v>
      </x:c>
      <x:c r="I551" s="12" t="str">
        <x:v>Owner=cpf-core / cpf-common / cpf-admin; Consumer=Configuration Resolver·Feature Consumer; Scope=Global·Environment·Domain·Group·Instance</x:v>
      </x:c>
      <x:c r="J551" s="12" t="str">
        <x:v>Runtime Control Plane, Approval, Audit, Runtime Registry, Migration</x:v>
      </x:c>
      <x:c r="K551" s="12" t="str">
        <x:v>기존 정상 CRUD·조회·업무 Consumer·Local/Remote·Batch 실행 회귀 금지</x:v>
      </x:c>
      <x:c r="L551" s="12" t="str">
        <x:v>WAS+MariaDB 우선; 미설치 외부 Provider는 Simulator 후 실제 연동 미검증</x:v>
      </x:c>
    </x:row>
    <x:row r="552">
      <x:c r="A552" s="12" t="str">
        <x:v>CPF-QA-D04-ADMRT-016</x:v>
      </x:c>
      <x:c r="B552" s="12" t="str">
        <x:v>ADMRT</x:v>
      </x:c>
      <x:c r="C552" s="12" t="str">
        <x:v>WP16</x:v>
      </x:c>
      <x:c r="D552" s="12" t="str">
        <x:v>재확인 필요</x:v>
      </x:c>
      <x:c r="E552" s="12" t="str">
        <x:v>P0</x:v>
      </x:c>
      <x:c r="F552" s="12" t="str">
        <x:v>설정·Parameter·Feature Flag — 대상 선택과 Snapshot</x:v>
      </x:c>
      <x:c r="G552" s="12" t="str">
        <x:v>설정·Parameter·Feature Flag 변경 대상은 Global·Environment·Domain·Group·Instance로 선택하며 실행 전 고정 Target Snapshot을 생성한다. Dynamic Selector를 사용한 경우 Preview 시점과 승인·실행 시점의 대상 변화를 탐지하고 재승인을 요구한다.</x:v>
      </x:c>
      <x:c r="H552" s="12" t="str">
        <x:v>0건 대상·과다 대상·교차 Tenant/Domain 대상은 차단하고 Snapshot Hash와 대상 수가 Evidence에 남는다.</x:v>
      </x:c>
      <x:c r="I552" s="12" t="str">
        <x:v>Owner=cpf-core / cpf-common / cpf-admin; Consumer=Configuration Resolver·Feature Consumer; Scope=Global·Environment·Domain·Group·Instance</x:v>
      </x:c>
      <x:c r="J552" s="12" t="str">
        <x:v>Runtime Control Plane, Approval, Audit, Runtime Registry, Migration</x:v>
      </x:c>
      <x:c r="K552" s="12" t="str">
        <x:v>기존 정상 CRUD·조회·업무 Consumer·Local/Remote·Batch 실행 회귀 금지</x:v>
      </x:c>
      <x:c r="L552" s="12" t="str">
        <x:v>WAS+MariaDB 우선; 미설치 외부 Provider는 Simulator 후 실제 연동 미검증</x:v>
      </x:c>
    </x:row>
    <x:row r="553">
      <x:c r="A553" s="12" t="str">
        <x:v>CPF-QA-D04-ADMRT-017</x:v>
      </x:c>
      <x:c r="B553" s="12" t="str">
        <x:v>ADMRT</x:v>
      </x:c>
      <x:c r="C553" s="12" t="str">
        <x:v>WP16</x:v>
      </x:c>
      <x:c r="D553" s="12" t="str">
        <x:v>재확인 필요</x:v>
      </x:c>
      <x:c r="E553" s="12" t="str">
        <x:v>P0</x:v>
      </x:c>
      <x:c r="F553" s="12" t="str">
        <x:v>설정·Parameter·Feature Flag — Preview·권한·사유·승인</x:v>
      </x:c>
      <x:c r="G553" s="12" t="str">
        <x:v>설정·Parameter·Feature Flag 변경은 변경 전/후 값, 영향 Consumer, 재기동 여부, 예상 대상 수, 위험도, Rollback 가능 여부를 Preview한다. 권한·사유·고위험 승인·Break Glass 상한을 적용한다.</x:v>
      </x:c>
      <x:c r="H553" s="12" t="str">
        <x:v>권한 없음·사유 없음·승인 만료·Self Approval·상태 변경 경쟁 조건에서 Fail-Closed 한다.</x:v>
      </x:c>
      <x:c r="I553" s="12" t="str">
        <x:v>Owner=cpf-core / cpf-common / cpf-admin; Consumer=Configuration Resolver·Feature Consumer; Scope=Global·Environment·Domain·Group·Instance</x:v>
      </x:c>
      <x:c r="J553" s="12" t="str">
        <x:v>Runtime Control Plane, Approval, Audit, Runtime Registry, Migration</x:v>
      </x:c>
      <x:c r="K553" s="12" t="str">
        <x:v>기존 정상 CRUD·조회·업무 Consumer·Local/Remote·Batch 실행 회귀 금지</x:v>
      </x:c>
      <x:c r="L553" s="12" t="str">
        <x:v>WAS+MariaDB 우선; 미설치 외부 Provider는 Simulator 후 실제 연동 미검증</x:v>
      </x:c>
    </x:row>
    <x:row r="554">
      <x:c r="A554" s="12" t="str">
        <x:v>CPF-QA-D04-ADMRT-018</x:v>
      </x:c>
      <x:c r="B554" s="12" t="str">
        <x:v>ADMRT</x:v>
      </x:c>
      <x:c r="C554" s="12" t="str">
        <x:v>WP16</x:v>
      </x:c>
      <x:c r="D554" s="12" t="str">
        <x:v>재확인 필요</x:v>
      </x:c>
      <x:c r="E554" s="12" t="str">
        <x:v>P0</x:v>
      </x:c>
      <x:c r="F554" s="12" t="str">
        <x:v>설정·Parameter·Feature Flag — Desired·Delivery·ACK·Actual·Drift</x:v>
      </x:c>
      <x:c r="G554" s="12" t="str">
        <x:v>설정·Parameter·Feature Flag 변경은 DB 저장이나 현재 JVM 메모리 변경으로 끝내지 않는다. Desired Version을 생성하고 대상별 Delivery, ACK, Actual Version/Hash, 적용 시각, 실패 원인을 수집하여 Drift와 Backlog를 조회한다.</x:v>
      </x:c>
      <x:c r="H554" s="12" t="str">
        <x:v>2개 이상 Instance에서 전체/부분 성공·Offline·중복·역전 Delivery를 검증하고 전체 성공 오판이 없어야 한다.</x:v>
      </x:c>
      <x:c r="I554" s="12" t="str">
        <x:v>Owner=cpf-core / cpf-common / cpf-admin; Consumer=Configuration Resolver·Feature Consumer; Scope=Global·Environment·Domain·Group·Instance</x:v>
      </x:c>
      <x:c r="J554" s="12" t="str">
        <x:v>Runtime Control Plane, Approval, Audit, Runtime Registry, Migration</x:v>
      </x:c>
      <x:c r="K554" s="12" t="str">
        <x:v>기존 정상 CRUD·조회·업무 Consumer·Local/Remote·Batch 실행 회귀 금지</x:v>
      </x:c>
      <x:c r="L554" s="12" t="str">
        <x:v>WAS+MariaDB 우선; 미설치 외부 Provider는 Simulator 후 실제 연동 미검증</x:v>
      </x:c>
    </x:row>
    <x:row r="555">
      <x:c r="A555" s="12" t="str">
        <x:v>CPF-QA-D04-ADMRT-019</x:v>
      </x:c>
      <x:c r="B555" s="12" t="str">
        <x:v>ADMRT</x:v>
      </x:c>
      <x:c r="C555" s="12" t="str">
        <x:v>WP16</x:v>
      </x:c>
      <x:c r="D555" s="12" t="str">
        <x:v>재확인 필요</x:v>
      </x:c>
      <x:c r="E555" s="12" t="str">
        <x:v>P0</x:v>
      </x:c>
      <x:c r="F555" s="12" t="str">
        <x:v>설정·Parameter·Feature Flag — 멱등성·동시성·부분 실패</x:v>
      </x:c>
      <x:c r="G555" s="12" t="str">
        <x:v>설정·Parameter·Feature Flag 변경은 operationId, request hash, expectedVersion/CAS를 사용한다. 동일 요청 재시도는 Side Effect 1회, 동일 operationId의 다른 Payload는 409, 대상 일부 실패는 PARTIAL/UNKNOWN_RESULT로 보존한다.</x:v>
      </x:c>
      <x:c r="H555" s="12" t="str">
        <x:v>응답 유실·Controller 재시작·Agent 재시작·DB Timeout·동시 변경에서 중복 적용과 Lost Update가 없다.</x:v>
      </x:c>
      <x:c r="I555" s="12" t="str">
        <x:v>Owner=cpf-core / cpf-common / cpf-admin; Consumer=Configuration Resolver·Feature Consumer; Scope=Global·Environment·Domain·Group·Instance</x:v>
      </x:c>
      <x:c r="J555" s="12" t="str">
        <x:v>Runtime Control Plane, Approval, Audit, Runtime Registry, Migration</x:v>
      </x:c>
      <x:c r="K555" s="12" t="str">
        <x:v>기존 정상 CRUD·조회·업무 Consumer·Local/Remote·Batch 실행 회귀 금지</x:v>
      </x:c>
      <x:c r="L555" s="12" t="str">
        <x:v>WAS+MariaDB 우선; 미설치 외부 Provider는 Simulator 후 실제 연동 미검증</x:v>
      </x:c>
    </x:row>
    <x:row r="556">
      <x:c r="A556" s="12" t="str">
        <x:v>CPF-QA-D04-ADMRT-020</x:v>
      </x:c>
      <x:c r="B556" s="12" t="str">
        <x:v>ADMRT</x:v>
      </x:c>
      <x:c r="C556" s="12" t="str">
        <x:v>WP16</x:v>
      </x:c>
      <x:c r="D556" s="12" t="str">
        <x:v>재확인 필요</x:v>
      </x:c>
      <x:c r="E556" s="12" t="str">
        <x:v>P0</x:v>
      </x:c>
      <x:c r="F556" s="12" t="str">
        <x:v>설정·Parameter·Feature Flag — Retry·Cancel·Rollback·Reconcile</x:v>
      </x:c>
      <x:c r="G556" s="12" t="str">
        <x:v>설정·Parameter·Feature Flag는 실패 대상 Retry, 예약 변경 Cancel, Last Good Version Rollback 또는 승인된 Forward Recovery를 제공한다. Offline Instance 재접속과 Process 재기동 시 최신 Snapshot으로 Reconcile하고 Drift를 복구한다.</x:v>
      </x:c>
      <x:c r="H556" s="12" t="str">
        <x:v>Rollback 불가 변경을 성공으로 위장하지 않고, 자동/수동 복구 결과와 대상별 최종 상태를 추적한다.</x:v>
      </x:c>
      <x:c r="I556" s="12" t="str">
        <x:v>Owner=cpf-core / cpf-common / cpf-admin; Consumer=Configuration Resolver·Feature Consumer; Scope=Global·Environment·Domain·Group·Instance</x:v>
      </x:c>
      <x:c r="J556" s="12" t="str">
        <x:v>Runtime Control Plane, Approval, Audit, Runtime Registry, Migration</x:v>
      </x:c>
      <x:c r="K556" s="12" t="str">
        <x:v>기존 정상 CRUD·조회·업무 Consumer·Local/Remote·Batch 실행 회귀 금지</x:v>
      </x:c>
      <x:c r="L556" s="12" t="str">
        <x:v>WAS+MariaDB 우선; 미설치 외부 Provider는 Simulator 후 실제 연동 미검증</x:v>
      </x:c>
    </x:row>
    <x:row r="557">
      <x:c r="A557" s="12" t="str">
        <x:v>CPF-QA-D04-ADMRT-021</x:v>
      </x:c>
      <x:c r="B557" s="12" t="str">
        <x:v>ADMRT</x:v>
      </x:c>
      <x:c r="C557" s="12" t="str">
        <x:v>WP16</x:v>
      </x:c>
      <x:c r="D557" s="12" t="str">
        <x:v>재확인 필요</x:v>
      </x:c>
      <x:c r="E557" s="12" t="str">
        <x:v>P1</x:v>
      </x:c>
      <x:c r="F557" s="12" t="str">
        <x:v>설정·Parameter·Feature Flag — 보안·감사·Test·Evidence</x:v>
      </x:c>
      <x:c r="G557" s="12" t="str">
        <x:v>설정·Parameter·Feature Flag 조회·변경·복구는 민감정보 마스킹, Tenant/Domain 격리, 위험 조치 감사, 변경 전후 Hash, 결과·실패 기록을 제공한다. Public API/SPI·Consumer·DB·UI·OpenAPI·JavaDoc·EDU·자동 Test·최신 SHA Evidence를 연결한다.</x:v>
      </x:c>
      <x:c r="H557" s="12" t="str">
        <x:v>화면·Interface·YAML·Mock·Static PASS만으로 완료하지 않으며 정상/오류/경계/다중 Instance/재기동 시나리오를 실행한다.</x:v>
      </x:c>
      <x:c r="I557" s="12" t="str">
        <x:v>Owner=cpf-core / cpf-common / cpf-admin; Consumer=Configuration Resolver·Feature Consumer; Scope=Global·Environment·Domain·Group·Instance</x:v>
      </x:c>
      <x:c r="J557" s="12" t="str">
        <x:v>Runtime Control Plane, Approval, Audit, Runtime Registry, Migration</x:v>
      </x:c>
      <x:c r="K557" s="12" t="str">
        <x:v>기존 정상 CRUD·조회·업무 Consumer·Local/Remote·Batch 실행 회귀 금지</x:v>
      </x:c>
      <x:c r="L557" s="12" t="str">
        <x:v>WAS+MariaDB 우선; 미설치 외부 Provider는 Simulator 후 실제 연동 미검증</x:v>
      </x:c>
    </x:row>
    <x:row r="558">
      <x:c r="A558" s="12" t="str">
        <x:v>CPF-QA-D04-ADMRT-022</x:v>
      </x:c>
      <x:c r="B558" s="12" t="str">
        <x:v>ADMRT</x:v>
      </x:c>
      <x:c r="C558" s="12" t="str">
        <x:v>WP16</x:v>
      </x:c>
      <x:c r="D558" s="12" t="str">
        <x:v>재확인 필요</x:v>
      </x:c>
      <x:c r="E558" s="12" t="str">
        <x:v>P1</x:v>
      </x:c>
      <x:c r="F558" s="12" t="str">
        <x:v>Cache — 현재 상태 조회와 정식 관리 객체</x:v>
      </x:c>
      <x:c r="G558" s="12" t="str">
        <x:v>Cache는 단순 문자열·화면 표시가 아니라 Owner가 명확한 정식 관리 객체여야 한다. ADM에서 Domain·Cache Region·Group·Instance·Key 기준 검색·Paging·상세조회가 가능하고 상태·Version·항목수·Full/Delta Refresh·Key Evict의 현재 값, Version, 갱신 시각, Owner, 상태를 조회한다.</x:v>
      </x:c>
      <x:c r="H558" s="12" t="str">
        <x:v>Source·DB·API·ADM 화면에서 동일 ID/Version을 사용하고 빈 결과·오류·부분 조회를 구분한다.</x:v>
      </x:c>
      <x:c r="I558" s="12" t="str">
        <x:v>Owner=cpf-core / cpf-common / cpf-admin; Consumer=Cache Resolver·업무 Consumer; Scope=Domain·Cache Region·Group·Instance·Key</x:v>
      </x:c>
      <x:c r="J558" s="12" t="str">
        <x:v>Runtime Control Plane, Approval, Audit, Runtime Registry, Migration</x:v>
      </x:c>
      <x:c r="K558" s="12" t="str">
        <x:v>기존 정상 CRUD·조회·업무 Consumer·Local/Remote·Batch 실행 회귀 금지</x:v>
      </x:c>
      <x:c r="L558" s="12" t="str">
        <x:v>WAS+MariaDB 우선; 미설치 외부 Provider는 Simulator 후 실제 연동 미검증</x:v>
      </x:c>
    </x:row>
    <x:row r="559">
      <x:c r="A559" s="12" t="str">
        <x:v>CPF-QA-D04-ADMRT-023</x:v>
      </x:c>
      <x:c r="B559" s="12" t="str">
        <x:v>ADMRT</x:v>
      </x:c>
      <x:c r="C559" s="12" t="str">
        <x:v>WP16</x:v>
      </x:c>
      <x:c r="D559" s="12" t="str">
        <x:v>재확인 필요</x:v>
      </x:c>
      <x:c r="E559" s="12" t="str">
        <x:v>P0</x:v>
      </x:c>
      <x:c r="F559" s="12" t="str">
        <x:v>Cache — 대상 선택과 Snapshot</x:v>
      </x:c>
      <x:c r="G559" s="12" t="str">
        <x:v>Cache 변경 대상은 Domain·Cache Region·Group·Instance·Key로 선택하며 실행 전 고정 Target Snapshot을 생성한다. Dynamic Selector를 사용한 경우 Preview 시점과 승인·실행 시점의 대상 변화를 탐지하고 재승인을 요구한다.</x:v>
      </x:c>
      <x:c r="H559" s="12" t="str">
        <x:v>0건 대상·과다 대상·교차 Tenant/Domain 대상은 차단하고 Snapshot Hash와 대상 수가 Evidence에 남는다.</x:v>
      </x:c>
      <x:c r="I559" s="12" t="str">
        <x:v>Owner=cpf-core / cpf-common / cpf-admin; Consumer=Cache Resolver·업무 Consumer; Scope=Domain·Cache Region·Group·Instance·Key</x:v>
      </x:c>
      <x:c r="J559" s="12" t="str">
        <x:v>Runtime Control Plane, Approval, Audit, Runtime Registry, Migration</x:v>
      </x:c>
      <x:c r="K559" s="12" t="str">
        <x:v>기존 정상 CRUD·조회·업무 Consumer·Local/Remote·Batch 실행 회귀 금지</x:v>
      </x:c>
      <x:c r="L559" s="12" t="str">
        <x:v>WAS+MariaDB 우선; 미설치 외부 Provider는 Simulator 후 실제 연동 미검증</x:v>
      </x:c>
    </x:row>
    <x:row r="560">
      <x:c r="A560" s="12" t="str">
        <x:v>CPF-QA-D04-ADMRT-024</x:v>
      </x:c>
      <x:c r="B560" s="12" t="str">
        <x:v>ADMRT</x:v>
      </x:c>
      <x:c r="C560" s="12" t="str">
        <x:v>WP16</x:v>
      </x:c>
      <x:c r="D560" s="12" t="str">
        <x:v>재확인 필요</x:v>
      </x:c>
      <x:c r="E560" s="12" t="str">
        <x:v>P0</x:v>
      </x:c>
      <x:c r="F560" s="12" t="str">
        <x:v>Cache — Preview·권한·사유·승인</x:v>
      </x:c>
      <x:c r="G560" s="12" t="str">
        <x:v>Cache 변경은 변경 전/후 값, 영향 Consumer, 재기동 여부, 예상 대상 수, 위험도, Rollback 가능 여부를 Preview한다. 권한·사유·고위험 승인·Break Glass 상한을 적용한다.</x:v>
      </x:c>
      <x:c r="H560" s="12" t="str">
        <x:v>권한 없음·사유 없음·승인 만료·Self Approval·상태 변경 경쟁 조건에서 Fail-Closed 한다.</x:v>
      </x:c>
      <x:c r="I560" s="12" t="str">
        <x:v>Owner=cpf-core / cpf-common / cpf-admin; Consumer=Cache Resolver·업무 Consumer; Scope=Domain·Cache Region·Group·Instance·Key</x:v>
      </x:c>
      <x:c r="J560" s="12" t="str">
        <x:v>Runtime Control Plane, Approval, Audit, Runtime Registry, Migration</x:v>
      </x:c>
      <x:c r="K560" s="12" t="str">
        <x:v>기존 정상 CRUD·조회·업무 Consumer·Local/Remote·Batch 실행 회귀 금지</x:v>
      </x:c>
      <x:c r="L560" s="12" t="str">
        <x:v>WAS+MariaDB 우선; 미설치 외부 Provider는 Simulator 후 실제 연동 미검증</x:v>
      </x:c>
    </x:row>
    <x:row r="561">
      <x:c r="A561" s="12" t="str">
        <x:v>CPF-QA-D04-ADMRT-025</x:v>
      </x:c>
      <x:c r="B561" s="12" t="str">
        <x:v>ADMRT</x:v>
      </x:c>
      <x:c r="C561" s="12" t="str">
        <x:v>WP16</x:v>
      </x:c>
      <x:c r="D561" s="12" t="str">
        <x:v>재확인 필요</x:v>
      </x:c>
      <x:c r="E561" s="12" t="str">
        <x:v>P0</x:v>
      </x:c>
      <x:c r="F561" s="12" t="str">
        <x:v>Cache — Desired·Delivery·ACK·Actual·Drift</x:v>
      </x:c>
      <x:c r="G561" s="12" t="str">
        <x:v>Cache 변경은 DB 저장이나 현재 JVM 메모리 변경으로 끝내지 않는다. Desired Version을 생성하고 대상별 Delivery, ACK, Actual Version/Hash, 적용 시각, 실패 원인을 수집하여 Drift와 Backlog를 조회한다.</x:v>
      </x:c>
      <x:c r="H561" s="12" t="str">
        <x:v>2개 이상 Instance에서 전체/부분 성공·Offline·중복·역전 Delivery를 검증하고 전체 성공 오판이 없어야 한다.</x:v>
      </x:c>
      <x:c r="I561" s="12" t="str">
        <x:v>Owner=cpf-core / cpf-common / cpf-admin; Consumer=Cache Resolver·업무 Consumer; Scope=Domain·Cache Region·Group·Instance·Key</x:v>
      </x:c>
      <x:c r="J561" s="12" t="str">
        <x:v>Runtime Control Plane, Approval, Audit, Runtime Registry, Migration</x:v>
      </x:c>
      <x:c r="K561" s="12" t="str">
        <x:v>기존 정상 CRUD·조회·업무 Consumer·Local/Remote·Batch 실행 회귀 금지</x:v>
      </x:c>
      <x:c r="L561" s="12" t="str">
        <x:v>WAS+MariaDB 우선; 미설치 외부 Provider는 Simulator 후 실제 연동 미검증</x:v>
      </x:c>
    </x:row>
    <x:row r="562">
      <x:c r="A562" s="12" t="str">
        <x:v>CPF-QA-D04-ADMRT-026</x:v>
      </x:c>
      <x:c r="B562" s="12" t="str">
        <x:v>ADMRT</x:v>
      </x:c>
      <x:c r="C562" s="12" t="str">
        <x:v>WP16</x:v>
      </x:c>
      <x:c r="D562" s="12" t="str">
        <x:v>재확인 필요</x:v>
      </x:c>
      <x:c r="E562" s="12" t="str">
        <x:v>P0</x:v>
      </x:c>
      <x:c r="F562" s="12" t="str">
        <x:v>Cache — 멱등성·동시성·부분 실패</x:v>
      </x:c>
      <x:c r="G562" s="12" t="str">
        <x:v>Cache 변경은 operationId, request hash, expectedVersion/CAS를 사용한다. 동일 요청 재시도는 Side Effect 1회, 동일 operationId의 다른 Payload는 409, 대상 일부 실패는 PARTIAL/UNKNOWN_RESULT로 보존한다.</x:v>
      </x:c>
      <x:c r="H562" s="12" t="str">
        <x:v>응답 유실·Controller 재시작·Agent 재시작·DB Timeout·동시 변경에서 중복 적용과 Lost Update가 없다.</x:v>
      </x:c>
      <x:c r="I562" s="12" t="str">
        <x:v>Owner=cpf-core / cpf-common / cpf-admin; Consumer=Cache Resolver·업무 Consumer; Scope=Domain·Cache Region·Group·Instance·Key</x:v>
      </x:c>
      <x:c r="J562" s="12" t="str">
        <x:v>Runtime Control Plane, Approval, Audit, Runtime Registry, Migration</x:v>
      </x:c>
      <x:c r="K562" s="12" t="str">
        <x:v>기존 정상 CRUD·조회·업무 Consumer·Local/Remote·Batch 실행 회귀 금지</x:v>
      </x:c>
      <x:c r="L562" s="12" t="str">
        <x:v>WAS+MariaDB 우선; 미설치 외부 Provider는 Simulator 후 실제 연동 미검증</x:v>
      </x:c>
    </x:row>
    <x:row r="563">
      <x:c r="A563" s="12" t="str">
        <x:v>CPF-QA-D04-ADMRT-027</x:v>
      </x:c>
      <x:c r="B563" s="12" t="str">
        <x:v>ADMRT</x:v>
      </x:c>
      <x:c r="C563" s="12" t="str">
        <x:v>WP16</x:v>
      </x:c>
      <x:c r="D563" s="12" t="str">
        <x:v>재확인 필요</x:v>
      </x:c>
      <x:c r="E563" s="12" t="str">
        <x:v>P0</x:v>
      </x:c>
      <x:c r="F563" s="12" t="str">
        <x:v>Cache — Retry·Cancel·Rollback·Reconcile</x:v>
      </x:c>
      <x:c r="G563" s="12" t="str">
        <x:v>Cache는 실패 대상 Retry, 예약 변경 Cancel, Last Good Version Rollback 또는 승인된 Forward Recovery를 제공한다. Offline Instance 재접속과 Process 재기동 시 최신 Snapshot으로 Reconcile하고 Drift를 복구한다.</x:v>
      </x:c>
      <x:c r="H563" s="12" t="str">
        <x:v>Rollback 불가 변경을 성공으로 위장하지 않고, 자동/수동 복구 결과와 대상별 최종 상태를 추적한다.</x:v>
      </x:c>
      <x:c r="I563" s="12" t="str">
        <x:v>Owner=cpf-core / cpf-common / cpf-admin; Consumer=Cache Resolver·업무 Consumer; Scope=Domain·Cache Region·Group·Instance·Key</x:v>
      </x:c>
      <x:c r="J563" s="12" t="str">
        <x:v>Runtime Control Plane, Approval, Audit, Runtime Registry, Migration</x:v>
      </x:c>
      <x:c r="K563" s="12" t="str">
        <x:v>기존 정상 CRUD·조회·업무 Consumer·Local/Remote·Batch 실행 회귀 금지</x:v>
      </x:c>
      <x:c r="L563" s="12" t="str">
        <x:v>WAS+MariaDB 우선; 미설치 외부 Provider는 Simulator 후 실제 연동 미검증</x:v>
      </x:c>
    </x:row>
    <x:row r="564">
      <x:c r="A564" s="12" t="str">
        <x:v>CPF-QA-D04-ADMRT-028</x:v>
      </x:c>
      <x:c r="B564" s="12" t="str">
        <x:v>ADMRT</x:v>
      </x:c>
      <x:c r="C564" s="12" t="str">
        <x:v>WP16</x:v>
      </x:c>
      <x:c r="D564" s="12" t="str">
        <x:v>재확인 필요</x:v>
      </x:c>
      <x:c r="E564" s="12" t="str">
        <x:v>P1</x:v>
      </x:c>
      <x:c r="F564" s="12" t="str">
        <x:v>Cache — 보안·감사·Test·Evidence</x:v>
      </x:c>
      <x:c r="G564" s="12" t="str">
        <x:v>Cache 조회·변경·복구는 민감정보 마스킹, Tenant/Domain 격리, 위험 조치 감사, 변경 전후 Hash, 결과·실패 기록을 제공한다. Public API/SPI·Consumer·DB·UI·OpenAPI·JavaDoc·EDU·자동 Test·최신 SHA Evidence를 연결한다.</x:v>
      </x:c>
      <x:c r="H564" s="12" t="str">
        <x:v>화면·Interface·YAML·Mock·Static PASS만으로 완료하지 않으며 정상/오류/경계/다중 Instance/재기동 시나리오를 실행한다.</x:v>
      </x:c>
      <x:c r="I564" s="12" t="str">
        <x:v>Owner=cpf-core / cpf-common / cpf-admin; Consumer=Cache Resolver·업무 Consumer; Scope=Domain·Cache Region·Group·Instance·Key</x:v>
      </x:c>
      <x:c r="J564" s="12" t="str">
        <x:v>Runtime Control Plane, Approval, Audit, Runtime Registry, Migration</x:v>
      </x:c>
      <x:c r="K564" s="12" t="str">
        <x:v>기존 정상 CRUD·조회·업무 Consumer·Local/Remote·Batch 실행 회귀 금지</x:v>
      </x:c>
      <x:c r="L564" s="12" t="str">
        <x:v>WAS+MariaDB 우선; 미설치 외부 Provider는 Simulator 후 실제 연동 미검증</x:v>
      </x:c>
    </x:row>
    <x:row r="565">
      <x:c r="A565" s="12" t="str">
        <x:v>CPF-QA-D04-ADMRT-029</x:v>
      </x:c>
      <x:c r="B565" s="12" t="str">
        <x:v>ADMRT</x:v>
      </x:c>
      <x:c r="C565" s="12" t="str">
        <x:v>WP16</x:v>
      </x:c>
      <x:c r="D565" s="12" t="str">
        <x:v>재확인 필요</x:v>
      </x:c>
      <x:c r="E565" s="12" t="str">
        <x:v>P1</x:v>
      </x:c>
      <x:c r="F565" s="12" t="str">
        <x:v>온라인 거래 — 현재 상태 조회와 정식 관리 객체</x:v>
      </x:c>
      <x:c r="G565" s="12" t="str">
        <x:v>온라인 거래는 단순 문자열·화면 표시가 아니라 Owner가 명확한 정식 관리 객체여야 한다. ADM에서 Domain·거래그룹·Transaction ID·Group·Instance 기준 검색·Paging·상세조회가 가능하고 Enable/Block/Drain/Maintenance·Timeout·Retry·Circuit·Rate Limit의 현재 값, Version, 갱신 시각, Owner, 상태를 조회한다.</x:v>
      </x:c>
      <x:c r="H565" s="12" t="str">
        <x:v>Source·DB·API·ADM 화면에서 동일 ID/Version을 사용하고 빈 결과·오류·부분 조회를 구분한다.</x:v>
      </x:c>
      <x:c r="I565" s="12" t="str">
        <x:v>Owner=cpf-core / cpf-admin; Consumer=Online Transaction Engine·업무 Controller; Scope=Domain·거래그룹·Transaction ID·Group·Instance</x:v>
      </x:c>
      <x:c r="J565" s="12" t="str">
        <x:v>Runtime Control Plane, Approval, Audit, Runtime Registry, Migration</x:v>
      </x:c>
      <x:c r="K565" s="12" t="str">
        <x:v>기존 정상 CRUD·조회·업무 Consumer·Local/Remote·Batch 실행 회귀 금지</x:v>
      </x:c>
      <x:c r="L565" s="12" t="str">
        <x:v>WAS+MariaDB 우선; 미설치 외부 Provider는 Simulator 후 실제 연동 미검증</x:v>
      </x:c>
    </x:row>
    <x:row r="566">
      <x:c r="A566" s="12" t="str">
        <x:v>CPF-QA-D04-ADMRT-030</x:v>
      </x:c>
      <x:c r="B566" s="12" t="str">
        <x:v>ADMRT</x:v>
      </x:c>
      <x:c r="C566" s="12" t="str">
        <x:v>WP16</x:v>
      </x:c>
      <x:c r="D566" s="12" t="str">
        <x:v>재확인 필요</x:v>
      </x:c>
      <x:c r="E566" s="12" t="str">
        <x:v>P0</x:v>
      </x:c>
      <x:c r="F566" s="12" t="str">
        <x:v>온라인 거래 — 대상 선택과 Snapshot</x:v>
      </x:c>
      <x:c r="G566" s="12" t="str">
        <x:v>온라인 거래 변경 대상은 Domain·거래그룹·Transaction ID·Group·Instance로 선택하며 실행 전 고정 Target Snapshot을 생성한다. Dynamic Selector를 사용한 경우 Preview 시점과 승인·실행 시점의 대상 변화를 탐지하고 재승인을 요구한다.</x:v>
      </x:c>
      <x:c r="H566" s="12" t="str">
        <x:v>0건 대상·과다 대상·교차 Tenant/Domain 대상은 차단하고 Snapshot Hash와 대상 수가 Evidence에 남는다.</x:v>
      </x:c>
      <x:c r="I566" s="12" t="str">
        <x:v>Owner=cpf-core / cpf-admin; Consumer=Online Transaction Engine·업무 Controller; Scope=Domain·거래그룹·Transaction ID·Group·Instance</x:v>
      </x:c>
      <x:c r="J566" s="12" t="str">
        <x:v>Runtime Control Plane, Approval, Audit, Runtime Registry, Migration</x:v>
      </x:c>
      <x:c r="K566" s="12" t="str">
        <x:v>기존 정상 CRUD·조회·업무 Consumer·Local/Remote·Batch 실행 회귀 금지</x:v>
      </x:c>
      <x:c r="L566" s="12" t="str">
        <x:v>WAS+MariaDB 우선; 미설치 외부 Provider는 Simulator 후 실제 연동 미검증</x:v>
      </x:c>
    </x:row>
    <x:row r="567">
      <x:c r="A567" s="12" t="str">
        <x:v>CPF-QA-D04-ADMRT-031</x:v>
      </x:c>
      <x:c r="B567" s="12" t="str">
        <x:v>ADMRT</x:v>
      </x:c>
      <x:c r="C567" s="12" t="str">
        <x:v>WP16</x:v>
      </x:c>
      <x:c r="D567" s="12" t="str">
        <x:v>재확인 필요</x:v>
      </x:c>
      <x:c r="E567" s="12" t="str">
        <x:v>P0</x:v>
      </x:c>
      <x:c r="F567" s="12" t="str">
        <x:v>온라인 거래 — Preview·권한·사유·승인</x:v>
      </x:c>
      <x:c r="G567" s="12" t="str">
        <x:v>온라인 거래 변경은 변경 전/후 값, 영향 Consumer, 재기동 여부, 예상 대상 수, 위험도, Rollback 가능 여부를 Preview한다. 권한·사유·고위험 승인·Break Glass 상한을 적용한다.</x:v>
      </x:c>
      <x:c r="H567" s="12" t="str">
        <x:v>권한 없음·사유 없음·승인 만료·Self Approval·상태 변경 경쟁 조건에서 Fail-Closed 한다.</x:v>
      </x:c>
      <x:c r="I567" s="12" t="str">
        <x:v>Owner=cpf-core / cpf-admin; Consumer=Online Transaction Engine·업무 Controller; Scope=Domain·거래그룹·Transaction ID·Group·Instance</x:v>
      </x:c>
      <x:c r="J567" s="12" t="str">
        <x:v>Runtime Control Plane, Approval, Audit, Runtime Registry, Migration</x:v>
      </x:c>
      <x:c r="K567" s="12" t="str">
        <x:v>기존 정상 CRUD·조회·업무 Consumer·Local/Remote·Batch 실행 회귀 금지</x:v>
      </x:c>
      <x:c r="L567" s="12" t="str">
        <x:v>WAS+MariaDB 우선; 미설치 외부 Provider는 Simulator 후 실제 연동 미검증</x:v>
      </x:c>
    </x:row>
    <x:row r="568">
      <x:c r="A568" s="12" t="str">
        <x:v>CPF-QA-D04-ADMRT-032</x:v>
      </x:c>
      <x:c r="B568" s="12" t="str">
        <x:v>ADMRT</x:v>
      </x:c>
      <x:c r="C568" s="12" t="str">
        <x:v>WP16</x:v>
      </x:c>
      <x:c r="D568" s="12" t="str">
        <x:v>재확인 필요</x:v>
      </x:c>
      <x:c r="E568" s="12" t="str">
        <x:v>P0</x:v>
      </x:c>
      <x:c r="F568" s="12" t="str">
        <x:v>온라인 거래 — Desired·Delivery·ACK·Actual·Drift</x:v>
      </x:c>
      <x:c r="G568" s="12" t="str">
        <x:v>온라인 거래 변경은 DB 저장이나 현재 JVM 메모리 변경으로 끝내지 않는다. Desired Version을 생성하고 대상별 Delivery, ACK, Actual Version/Hash, 적용 시각, 실패 원인을 수집하여 Drift와 Backlog를 조회한다.</x:v>
      </x:c>
      <x:c r="H568" s="12" t="str">
        <x:v>2개 이상 Instance에서 전체/부분 성공·Offline·중복·역전 Delivery를 검증하고 전체 성공 오판이 없어야 한다.</x:v>
      </x:c>
      <x:c r="I568" s="12" t="str">
        <x:v>Owner=cpf-core / cpf-admin; Consumer=Online Transaction Engine·업무 Controller; Scope=Domain·거래그룹·Transaction ID·Group·Instance</x:v>
      </x:c>
      <x:c r="J568" s="12" t="str">
        <x:v>Runtime Control Plane, Approval, Audit, Runtime Registry, Migration</x:v>
      </x:c>
      <x:c r="K568" s="12" t="str">
        <x:v>기존 정상 CRUD·조회·업무 Consumer·Local/Remote·Batch 실행 회귀 금지</x:v>
      </x:c>
      <x:c r="L568" s="12" t="str">
        <x:v>WAS+MariaDB 우선; 미설치 외부 Provider는 Simulator 후 실제 연동 미검증</x:v>
      </x:c>
    </x:row>
    <x:row r="569">
      <x:c r="A569" s="12" t="str">
        <x:v>CPF-QA-D04-ADMRT-033</x:v>
      </x:c>
      <x:c r="B569" s="12" t="str">
        <x:v>ADMRT</x:v>
      </x:c>
      <x:c r="C569" s="12" t="str">
        <x:v>WP16</x:v>
      </x:c>
      <x:c r="D569" s="12" t="str">
        <x:v>재확인 필요</x:v>
      </x:c>
      <x:c r="E569" s="12" t="str">
        <x:v>P0</x:v>
      </x:c>
      <x:c r="F569" s="12" t="str">
        <x:v>온라인 거래 — 멱등성·동시성·부분 실패</x:v>
      </x:c>
      <x:c r="G569" s="12" t="str">
        <x:v>온라인 거래 변경은 operationId, request hash, expectedVersion/CAS를 사용한다. 동일 요청 재시도는 Side Effect 1회, 동일 operationId의 다른 Payload는 409, 대상 일부 실패는 PARTIAL/UNKNOWN_RESULT로 보존한다.</x:v>
      </x:c>
      <x:c r="H569" s="12" t="str">
        <x:v>응답 유실·Controller 재시작·Agent 재시작·DB Timeout·동시 변경에서 중복 적용과 Lost Update가 없다.</x:v>
      </x:c>
      <x:c r="I569" s="12" t="str">
        <x:v>Owner=cpf-core / cpf-admin; Consumer=Online Transaction Engine·업무 Controller; Scope=Domain·거래그룹·Transaction ID·Group·Instance</x:v>
      </x:c>
      <x:c r="J569" s="12" t="str">
        <x:v>Runtime Control Plane, Approval, Audit, Runtime Registry, Migration</x:v>
      </x:c>
      <x:c r="K569" s="12" t="str">
        <x:v>기존 정상 CRUD·조회·업무 Consumer·Local/Remote·Batch 실행 회귀 금지</x:v>
      </x:c>
      <x:c r="L569" s="12" t="str">
        <x:v>WAS+MariaDB 우선; 미설치 외부 Provider는 Simulator 후 실제 연동 미검증</x:v>
      </x:c>
    </x:row>
    <x:row r="570">
      <x:c r="A570" s="12" t="str">
        <x:v>CPF-QA-D04-ADMRT-034</x:v>
      </x:c>
      <x:c r="B570" s="12" t="str">
        <x:v>ADMRT</x:v>
      </x:c>
      <x:c r="C570" s="12" t="str">
        <x:v>WP16</x:v>
      </x:c>
      <x:c r="D570" s="12" t="str">
        <x:v>재확인 필요</x:v>
      </x:c>
      <x:c r="E570" s="12" t="str">
        <x:v>P0</x:v>
      </x:c>
      <x:c r="F570" s="12" t="str">
        <x:v>온라인 거래 — Retry·Cancel·Rollback·Reconcile</x:v>
      </x:c>
      <x:c r="G570" s="12" t="str">
        <x:v>온라인 거래는 실패 대상 Retry, 예약 변경 Cancel, Last Good Version Rollback 또는 승인된 Forward Recovery를 제공한다. Offline Instance 재접속과 Process 재기동 시 최신 Snapshot으로 Reconcile하고 Drift를 복구한다.</x:v>
      </x:c>
      <x:c r="H570" s="12" t="str">
        <x:v>Rollback 불가 변경을 성공으로 위장하지 않고, 자동/수동 복구 결과와 대상별 최종 상태를 추적한다.</x:v>
      </x:c>
      <x:c r="I570" s="12" t="str">
        <x:v>Owner=cpf-core / cpf-admin; Consumer=Online Transaction Engine·업무 Controller; Scope=Domain·거래그룹·Transaction ID·Group·Instance</x:v>
      </x:c>
      <x:c r="J570" s="12" t="str">
        <x:v>Runtime Control Plane, Approval, Audit, Runtime Registry, Migration</x:v>
      </x:c>
      <x:c r="K570" s="12" t="str">
        <x:v>기존 정상 CRUD·조회·업무 Consumer·Local/Remote·Batch 실행 회귀 금지</x:v>
      </x:c>
      <x:c r="L570" s="12" t="str">
        <x:v>WAS+MariaDB 우선; 미설치 외부 Provider는 Simulator 후 실제 연동 미검증</x:v>
      </x:c>
    </x:row>
    <x:row r="571">
      <x:c r="A571" s="12" t="str">
        <x:v>CPF-QA-D04-ADMRT-035</x:v>
      </x:c>
      <x:c r="B571" s="12" t="str">
        <x:v>ADMRT</x:v>
      </x:c>
      <x:c r="C571" s="12" t="str">
        <x:v>WP16</x:v>
      </x:c>
      <x:c r="D571" s="12" t="str">
        <x:v>재확인 필요</x:v>
      </x:c>
      <x:c r="E571" s="12" t="str">
        <x:v>P1</x:v>
      </x:c>
      <x:c r="F571" s="12" t="str">
        <x:v>온라인 거래 — 보안·감사·Test·Evidence</x:v>
      </x:c>
      <x:c r="G571" s="12" t="str">
        <x:v>온라인 거래 조회·변경·복구는 민감정보 마스킹, Tenant/Domain 격리, 위험 조치 감사, 변경 전후 Hash, 결과·실패 기록을 제공한다. Public API/SPI·Consumer·DB·UI·OpenAPI·JavaDoc·EDU·자동 Test·최신 SHA Evidence를 연결한다.</x:v>
      </x:c>
      <x:c r="H571" s="12" t="str">
        <x:v>화면·Interface·YAML·Mock·Static PASS만으로 완료하지 않으며 정상/오류/경계/다중 Instance/재기동 시나리오를 실행한다.</x:v>
      </x:c>
      <x:c r="I571" s="12" t="str">
        <x:v>Owner=cpf-core / cpf-admin; Consumer=Online Transaction Engine·업무 Controller; Scope=Domain·거래그룹·Transaction ID·Group·Instance</x:v>
      </x:c>
      <x:c r="J571" s="12" t="str">
        <x:v>Runtime Control Plane, Approval, Audit, Runtime Registry, Migration</x:v>
      </x:c>
      <x:c r="K571" s="12" t="str">
        <x:v>기존 정상 CRUD·조회·업무 Consumer·Local/Remote·Batch 실행 회귀 금지</x:v>
      </x:c>
      <x:c r="L571" s="12" t="str">
        <x:v>WAS+MariaDB 우선; 미설치 외부 Provider는 Simulator 후 실제 연동 미검증</x:v>
      </x:c>
    </x:row>
    <x:row r="572">
      <x:c r="A572" s="12" t="str">
        <x:v>CPF-QA-D04-ADMRT-036</x:v>
      </x:c>
      <x:c r="B572" s="12" t="str">
        <x:v>ADMRT</x:v>
      </x:c>
      <x:c r="C572" s="12" t="str">
        <x:v>WP16</x:v>
      </x:c>
      <x:c r="D572" s="12" t="str">
        <x:v>재확인 필요</x:v>
      </x:c>
      <x:c r="E572" s="12" t="str">
        <x:v>P1</x:v>
      </x:c>
      <x:c r="F572" s="12" t="str">
        <x:v>Local·Remote Service Call — 현재 상태 조회와 정식 관리 객체</x:v>
      </x:c>
      <x:c r="G572" s="12" t="str">
        <x:v>Local·Remote Service Call는 단순 문자열·화면 표시가 아니라 Owner가 명확한 정식 관리 객체여야 한다. ADM에서 Service·Endpoint·Zone·Cell·Group·Instance 기준 검색·Paging·상세조회가 가능하고 Local Facade·Remote Facade·Timeout·Retry·Failover·UNKNOWN_RESULT의 현재 값, Version, 갱신 시각, Owner, 상태를 조회한다.</x:v>
      </x:c>
      <x:c r="H572" s="12" t="str">
        <x:v>Source·DB·API·ADM 화면에서 동일 ID/Version을 사용하고 빈 결과·오류·부분 조회를 구분한다.</x:v>
      </x:c>
      <x:c r="I572" s="12" t="str">
        <x:v>Owner=cpf-core / cpf-gateway / cpf-admin; Consumer=ServiceCall Engine·Generated Domain Client; Scope=Service·Endpoint·Zone·Cell·Group·Instance</x:v>
      </x:c>
      <x:c r="J572" s="12" t="str">
        <x:v>Runtime Control Plane, Approval, Audit, Runtime Registry, Migration</x:v>
      </x:c>
      <x:c r="K572" s="12" t="str">
        <x:v>기존 정상 CRUD·조회·업무 Consumer·Local/Remote·Batch 실행 회귀 금지</x:v>
      </x:c>
      <x:c r="L572" s="12" t="str">
        <x:v>WAS+MariaDB 우선; 미설치 외부 Provider는 Simulator 후 실제 연동 미검증</x:v>
      </x:c>
    </x:row>
    <x:row r="573">
      <x:c r="A573" s="12" t="str">
        <x:v>CPF-QA-D04-ADMRT-037</x:v>
      </x:c>
      <x:c r="B573" s="12" t="str">
        <x:v>ADMRT</x:v>
      </x:c>
      <x:c r="C573" s="12" t="str">
        <x:v>WP16</x:v>
      </x:c>
      <x:c r="D573" s="12" t="str">
        <x:v>재확인 필요</x:v>
      </x:c>
      <x:c r="E573" s="12" t="str">
        <x:v>P0</x:v>
      </x:c>
      <x:c r="F573" s="12" t="str">
        <x:v>Local·Remote Service Call — 대상 선택과 Snapshot</x:v>
      </x:c>
      <x:c r="G573" s="12" t="str">
        <x:v>Local·Remote Service Call 변경 대상은 Service·Endpoint·Zone·Cell·Group·Instance로 선택하며 실행 전 고정 Target Snapshot을 생성한다. Dynamic Selector를 사용한 경우 Preview 시점과 승인·실행 시점의 대상 변화를 탐지하고 재승인을 요구한다.</x:v>
      </x:c>
      <x:c r="H573" s="12" t="str">
        <x:v>0건 대상·과다 대상·교차 Tenant/Domain 대상은 차단하고 Snapshot Hash와 대상 수가 Evidence에 남는다.</x:v>
      </x:c>
      <x:c r="I573" s="12" t="str">
        <x:v>Owner=cpf-core / cpf-gateway / cpf-admin; Consumer=ServiceCall Engine·Generated Domain Client; Scope=Service·Endpoint·Zone·Cell·Group·Instance</x:v>
      </x:c>
      <x:c r="J573" s="12" t="str">
        <x:v>Runtime Control Plane, Approval, Audit, Runtime Registry, Migration</x:v>
      </x:c>
      <x:c r="K573" s="12" t="str">
        <x:v>기존 정상 CRUD·조회·업무 Consumer·Local/Remote·Batch 실행 회귀 금지</x:v>
      </x:c>
      <x:c r="L573" s="12" t="str">
        <x:v>WAS+MariaDB 우선; 미설치 외부 Provider는 Simulator 후 실제 연동 미검증</x:v>
      </x:c>
    </x:row>
    <x:row r="574">
      <x:c r="A574" s="12" t="str">
        <x:v>CPF-QA-D04-ADMRT-038</x:v>
      </x:c>
      <x:c r="B574" s="12" t="str">
        <x:v>ADMRT</x:v>
      </x:c>
      <x:c r="C574" s="12" t="str">
        <x:v>WP16</x:v>
      </x:c>
      <x:c r="D574" s="12" t="str">
        <x:v>재확인 필요</x:v>
      </x:c>
      <x:c r="E574" s="12" t="str">
        <x:v>P0</x:v>
      </x:c>
      <x:c r="F574" s="12" t="str">
        <x:v>Local·Remote Service Call — Preview·권한·사유·승인</x:v>
      </x:c>
      <x:c r="G574" s="12" t="str">
        <x:v>Local·Remote Service Call 변경은 변경 전/후 값, 영향 Consumer, 재기동 여부, 예상 대상 수, 위험도, Rollback 가능 여부를 Preview한다. 권한·사유·고위험 승인·Break Glass 상한을 적용한다.</x:v>
      </x:c>
      <x:c r="H574" s="12" t="str">
        <x:v>권한 없음·사유 없음·승인 만료·Self Approval·상태 변경 경쟁 조건에서 Fail-Closed 한다.</x:v>
      </x:c>
      <x:c r="I574" s="12" t="str">
        <x:v>Owner=cpf-core / cpf-gateway / cpf-admin; Consumer=ServiceCall Engine·Generated Domain Client; Scope=Service·Endpoint·Zone·Cell·Group·Instance</x:v>
      </x:c>
      <x:c r="J574" s="12" t="str">
        <x:v>Runtime Control Plane, Approval, Audit, Runtime Registry, Migration</x:v>
      </x:c>
      <x:c r="K574" s="12" t="str">
        <x:v>기존 정상 CRUD·조회·업무 Consumer·Local/Remote·Batch 실행 회귀 금지</x:v>
      </x:c>
      <x:c r="L574" s="12" t="str">
        <x:v>WAS+MariaDB 우선; 미설치 외부 Provider는 Simulator 후 실제 연동 미검증</x:v>
      </x:c>
    </x:row>
    <x:row r="575">
      <x:c r="A575" s="12" t="str">
        <x:v>CPF-QA-D04-ADMRT-039</x:v>
      </x:c>
      <x:c r="B575" s="12" t="str">
        <x:v>ADMRT</x:v>
      </x:c>
      <x:c r="C575" s="12" t="str">
        <x:v>WP16</x:v>
      </x:c>
      <x:c r="D575" s="12" t="str">
        <x:v>재확인 필요</x:v>
      </x:c>
      <x:c r="E575" s="12" t="str">
        <x:v>P0</x:v>
      </x:c>
      <x:c r="F575" s="12" t="str">
        <x:v>Local·Remote Service Call — Desired·Delivery·ACK·Actual·Drift</x:v>
      </x:c>
      <x:c r="G575" s="12" t="str">
        <x:v>Local·Remote Service Call 변경은 DB 저장이나 현재 JVM 메모리 변경으로 끝내지 않는다. Desired Version을 생성하고 대상별 Delivery, ACK, Actual Version/Hash, 적용 시각, 실패 원인을 수집하여 Drift와 Backlog를 조회한다.</x:v>
      </x:c>
      <x:c r="H575" s="12" t="str">
        <x:v>2개 이상 Instance에서 전체/부분 성공·Offline·중복·역전 Delivery를 검증하고 전체 성공 오판이 없어야 한다.</x:v>
      </x:c>
      <x:c r="I575" s="12" t="str">
        <x:v>Owner=cpf-core / cpf-gateway / cpf-admin; Consumer=ServiceCall Engine·Generated Domain Client; Scope=Service·Endpoint·Zone·Cell·Group·Instance</x:v>
      </x:c>
      <x:c r="J575" s="12" t="str">
        <x:v>Runtime Control Plane, Approval, Audit, Runtime Registry, Migration</x:v>
      </x:c>
      <x:c r="K575" s="12" t="str">
        <x:v>기존 정상 CRUD·조회·업무 Consumer·Local/Remote·Batch 실행 회귀 금지</x:v>
      </x:c>
      <x:c r="L575" s="12" t="str">
        <x:v>WAS+MariaDB 우선; 미설치 외부 Provider는 Simulator 후 실제 연동 미검증</x:v>
      </x:c>
    </x:row>
    <x:row r="576">
      <x:c r="A576" s="12" t="str">
        <x:v>CPF-QA-D04-ADMRT-040</x:v>
      </x:c>
      <x:c r="B576" s="12" t="str">
        <x:v>ADMRT</x:v>
      </x:c>
      <x:c r="C576" s="12" t="str">
        <x:v>WP16</x:v>
      </x:c>
      <x:c r="D576" s="12" t="str">
        <x:v>재확인 필요</x:v>
      </x:c>
      <x:c r="E576" s="12" t="str">
        <x:v>P0</x:v>
      </x:c>
      <x:c r="F576" s="12" t="str">
        <x:v>Local·Remote Service Call — 멱등성·동시성·부분 실패</x:v>
      </x:c>
      <x:c r="G576" s="12" t="str">
        <x:v>Local·Remote Service Call 변경은 operationId, request hash, expectedVersion/CAS를 사용한다. 동일 요청 재시도는 Side Effect 1회, 동일 operationId의 다른 Payload는 409, 대상 일부 실패는 PARTIAL/UNKNOWN_RESULT로 보존한다.</x:v>
      </x:c>
      <x:c r="H576" s="12" t="str">
        <x:v>응답 유실·Controller 재시작·Agent 재시작·DB Timeout·동시 변경에서 중복 적용과 Lost Update가 없다.</x:v>
      </x:c>
      <x:c r="I576" s="12" t="str">
        <x:v>Owner=cpf-core / cpf-gateway / cpf-admin; Consumer=ServiceCall Engine·Generated Domain Client; Scope=Service·Endpoint·Zone·Cell·Group·Instance</x:v>
      </x:c>
      <x:c r="J576" s="12" t="str">
        <x:v>Runtime Control Plane, Approval, Audit, Runtime Registry, Migration</x:v>
      </x:c>
      <x:c r="K576" s="12" t="str">
        <x:v>기존 정상 CRUD·조회·업무 Consumer·Local/Remote·Batch 실행 회귀 금지</x:v>
      </x:c>
      <x:c r="L576" s="12" t="str">
        <x:v>WAS+MariaDB 우선; 미설치 외부 Provider는 Simulator 후 실제 연동 미검증</x:v>
      </x:c>
    </x:row>
    <x:row r="577">
      <x:c r="A577" s="12" t="str">
        <x:v>CPF-QA-D04-ADMRT-041</x:v>
      </x:c>
      <x:c r="B577" s="12" t="str">
        <x:v>ADMRT</x:v>
      </x:c>
      <x:c r="C577" s="12" t="str">
        <x:v>WP16</x:v>
      </x:c>
      <x:c r="D577" s="12" t="str">
        <x:v>재확인 필요</x:v>
      </x:c>
      <x:c r="E577" s="12" t="str">
        <x:v>P0</x:v>
      </x:c>
      <x:c r="F577" s="12" t="str">
        <x:v>Local·Remote Service Call — Retry·Cancel·Rollback·Reconcile</x:v>
      </x:c>
      <x:c r="G577" s="12" t="str">
        <x:v>Local·Remote Service Call는 실패 대상 Retry, 예약 변경 Cancel, Last Good Version Rollback 또는 승인된 Forward Recovery를 제공한다. Offline Instance 재접속과 Process 재기동 시 최신 Snapshot으로 Reconcile하고 Drift를 복구한다.</x:v>
      </x:c>
      <x:c r="H577" s="12" t="str">
        <x:v>Rollback 불가 변경을 성공으로 위장하지 않고, 자동/수동 복구 결과와 대상별 최종 상태를 추적한다.</x:v>
      </x:c>
      <x:c r="I577" s="12" t="str">
        <x:v>Owner=cpf-core / cpf-gateway / cpf-admin; Consumer=ServiceCall Engine·Generated Domain Client; Scope=Service·Endpoint·Zone·Cell·Group·Instance</x:v>
      </x:c>
      <x:c r="J577" s="12" t="str">
        <x:v>Runtime Control Plane, Approval, Audit, Runtime Registry, Migration</x:v>
      </x:c>
      <x:c r="K577" s="12" t="str">
        <x:v>기존 정상 CRUD·조회·업무 Consumer·Local/Remote·Batch 실행 회귀 금지</x:v>
      </x:c>
      <x:c r="L577" s="12" t="str">
        <x:v>WAS+MariaDB 우선; 미설치 외부 Provider는 Simulator 후 실제 연동 미검증</x:v>
      </x:c>
    </x:row>
    <x:row r="578">
      <x:c r="A578" s="12" t="str">
        <x:v>CPF-QA-D04-ADMRT-042</x:v>
      </x:c>
      <x:c r="B578" s="12" t="str">
        <x:v>ADMRT</x:v>
      </x:c>
      <x:c r="C578" s="12" t="str">
        <x:v>WP16</x:v>
      </x:c>
      <x:c r="D578" s="12" t="str">
        <x:v>재확인 필요</x:v>
      </x:c>
      <x:c r="E578" s="12" t="str">
        <x:v>P1</x:v>
      </x:c>
      <x:c r="F578" s="12" t="str">
        <x:v>Local·Remote Service Call — 보안·감사·Test·Evidence</x:v>
      </x:c>
      <x:c r="G578" s="12" t="str">
        <x:v>Local·Remote Service Call 조회·변경·복구는 민감정보 마스킹, Tenant/Domain 격리, 위험 조치 감사, 변경 전후 Hash, 결과·실패 기록을 제공한다. Public API/SPI·Consumer·DB·UI·OpenAPI·JavaDoc·EDU·자동 Test·최신 SHA Evidence를 연결한다.</x:v>
      </x:c>
      <x:c r="H578" s="12" t="str">
        <x:v>화면·Interface·YAML·Mock·Static PASS만으로 완료하지 않으며 정상/오류/경계/다중 Instance/재기동 시나리오를 실행한다.</x:v>
      </x:c>
      <x:c r="I578" s="12" t="str">
        <x:v>Owner=cpf-core / cpf-gateway / cpf-admin; Consumer=ServiceCall Engine·Generated Domain Client; Scope=Service·Endpoint·Zone·Cell·Group·Instance</x:v>
      </x:c>
      <x:c r="J578" s="12" t="str">
        <x:v>Runtime Control Plane, Approval, Audit, Runtime Registry, Migration</x:v>
      </x:c>
      <x:c r="K578" s="12" t="str">
        <x:v>기존 정상 CRUD·조회·업무 Consumer·Local/Remote·Batch 실행 회귀 금지</x:v>
      </x:c>
      <x:c r="L578" s="12" t="str">
        <x:v>WAS+MariaDB 우선; 미설치 외부 Provider는 Simulator 후 실제 연동 미검증</x:v>
      </x:c>
    </x:row>
    <x:row r="579">
      <x:c r="A579" s="12" t="str">
        <x:v>CPF-QA-D04-ADMRT-043</x:v>
      </x:c>
      <x:c r="B579" s="12" t="str">
        <x:v>ADMRT</x:v>
      </x:c>
      <x:c r="C579" s="12" t="str">
        <x:v>WP16</x:v>
      </x:c>
      <x:c r="D579" s="12" t="str">
        <x:v>재확인 필요</x:v>
      </x:c>
      <x:c r="E579" s="12" t="str">
        <x:v>P1</x:v>
      </x:c>
      <x:c r="F579" s="12" t="str">
        <x:v>Gateway — 현재 상태 조회와 정식 관리 객체</x:v>
      </x:c>
      <x:c r="G579" s="12" t="str">
        <x:v>Gateway는 단순 문자열·화면 표시가 아니라 Owner가 명확한 정식 관리 객체여야 한다. ADM에서 Route·Service·Zone·Cell·Group·Instance 기준 검색·Paging·상세조회가 가능하고 Method·Header·Auth·Weight·Priority·Streaming·Canary·Rollback의 현재 값, Version, 갱신 시각, Owner, 상태를 조회한다.</x:v>
      </x:c>
      <x:c r="H579" s="12" t="str">
        <x:v>Source·DB·API·ADM 화면에서 동일 ID/Version을 사용하고 빈 결과·오류·부분 조회를 구분한다.</x:v>
      </x:c>
      <x:c r="I579" s="12" t="str">
        <x:v>Owner=cpf-gateway / cpf-admin; Consumer=Gateway Proxy·Route Consumer; Scope=Route·Service·Zone·Cell·Group·Instance</x:v>
      </x:c>
      <x:c r="J579" s="12" t="str">
        <x:v>Runtime Control Plane, Approval, Audit, Runtime Registry, Migration</x:v>
      </x:c>
      <x:c r="K579" s="12" t="str">
        <x:v>기존 정상 CRUD·조회·업무 Consumer·Local/Remote·Batch 실행 회귀 금지</x:v>
      </x:c>
      <x:c r="L579" s="12" t="str">
        <x:v>WAS+MariaDB 우선; 미설치 외부 Provider는 Simulator 후 실제 연동 미검증</x:v>
      </x:c>
    </x:row>
    <x:row r="580">
      <x:c r="A580" s="12" t="str">
        <x:v>CPF-QA-D04-ADMRT-044</x:v>
      </x:c>
      <x:c r="B580" s="12" t="str">
        <x:v>ADMRT</x:v>
      </x:c>
      <x:c r="C580" s="12" t="str">
        <x:v>WP16</x:v>
      </x:c>
      <x:c r="D580" s="12" t="str">
        <x:v>재확인 필요</x:v>
      </x:c>
      <x:c r="E580" s="12" t="str">
        <x:v>P0</x:v>
      </x:c>
      <x:c r="F580" s="12" t="str">
        <x:v>Gateway — 대상 선택과 Snapshot</x:v>
      </x:c>
      <x:c r="G580" s="12" t="str">
        <x:v>Gateway 변경 대상은 Route·Service·Zone·Cell·Group·Instance로 선택하며 실행 전 고정 Target Snapshot을 생성한다. Dynamic Selector를 사용한 경우 Preview 시점과 승인·실행 시점의 대상 변화를 탐지하고 재승인을 요구한다.</x:v>
      </x:c>
      <x:c r="H580" s="12" t="str">
        <x:v>0건 대상·과다 대상·교차 Tenant/Domain 대상은 차단하고 Snapshot Hash와 대상 수가 Evidence에 남는다.</x:v>
      </x:c>
      <x:c r="I580" s="12" t="str">
        <x:v>Owner=cpf-gateway / cpf-admin; Consumer=Gateway Proxy·Route Consumer; Scope=Route·Service·Zone·Cell·Group·Instance</x:v>
      </x:c>
      <x:c r="J580" s="12" t="str">
        <x:v>Runtime Control Plane, Approval, Audit, Runtime Registry, Migration</x:v>
      </x:c>
      <x:c r="K580" s="12" t="str">
        <x:v>기존 정상 CRUD·조회·업무 Consumer·Local/Remote·Batch 실행 회귀 금지</x:v>
      </x:c>
      <x:c r="L580" s="12" t="str">
        <x:v>WAS+MariaDB 우선; 미설치 외부 Provider는 Simulator 후 실제 연동 미검증</x:v>
      </x:c>
    </x:row>
    <x:row r="581">
      <x:c r="A581" s="12" t="str">
        <x:v>CPF-QA-D04-ADMRT-045</x:v>
      </x:c>
      <x:c r="B581" s="12" t="str">
        <x:v>ADMRT</x:v>
      </x:c>
      <x:c r="C581" s="12" t="str">
        <x:v>WP16</x:v>
      </x:c>
      <x:c r="D581" s="12" t="str">
        <x:v>재확인 필요</x:v>
      </x:c>
      <x:c r="E581" s="12" t="str">
        <x:v>P0</x:v>
      </x:c>
      <x:c r="F581" s="12" t="str">
        <x:v>Gateway — Preview·권한·사유·승인</x:v>
      </x:c>
      <x:c r="G581" s="12" t="str">
        <x:v>Gateway 변경은 변경 전/후 값, 영향 Consumer, 재기동 여부, 예상 대상 수, 위험도, Rollback 가능 여부를 Preview한다. 권한·사유·고위험 승인·Break Glass 상한을 적용한다.</x:v>
      </x:c>
      <x:c r="H581" s="12" t="str">
        <x:v>권한 없음·사유 없음·승인 만료·Self Approval·상태 변경 경쟁 조건에서 Fail-Closed 한다.</x:v>
      </x:c>
      <x:c r="I581" s="12" t="str">
        <x:v>Owner=cpf-gateway / cpf-admin; Consumer=Gateway Proxy·Route Consumer; Scope=Route·Service·Zone·Cell·Group·Instance</x:v>
      </x:c>
      <x:c r="J581" s="12" t="str">
        <x:v>Runtime Control Plane, Approval, Audit, Runtime Registry, Migration</x:v>
      </x:c>
      <x:c r="K581" s="12" t="str">
        <x:v>기존 정상 CRUD·조회·업무 Consumer·Local/Remote·Batch 실행 회귀 금지</x:v>
      </x:c>
      <x:c r="L581" s="12" t="str">
        <x:v>WAS+MariaDB 우선; 미설치 외부 Provider는 Simulator 후 실제 연동 미검증</x:v>
      </x:c>
    </x:row>
    <x:row r="582">
      <x:c r="A582" s="12" t="str">
        <x:v>CPF-QA-D04-ADMRT-046</x:v>
      </x:c>
      <x:c r="B582" s="12" t="str">
        <x:v>ADMRT</x:v>
      </x:c>
      <x:c r="C582" s="12" t="str">
        <x:v>WP16</x:v>
      </x:c>
      <x:c r="D582" s="12" t="str">
        <x:v>재확인 필요</x:v>
      </x:c>
      <x:c r="E582" s="12" t="str">
        <x:v>P0</x:v>
      </x:c>
      <x:c r="F582" s="12" t="str">
        <x:v>Gateway — Desired·Delivery·ACK·Actual·Drift</x:v>
      </x:c>
      <x:c r="G582" s="12" t="str">
        <x:v>Gateway 변경은 DB 저장이나 현재 JVM 메모리 변경으로 끝내지 않는다. Desired Version을 생성하고 대상별 Delivery, ACK, Actual Version/Hash, 적용 시각, 실패 원인을 수집하여 Drift와 Backlog를 조회한다.</x:v>
      </x:c>
      <x:c r="H582" s="12" t="str">
        <x:v>2개 이상 Instance에서 전체/부분 성공·Offline·중복·역전 Delivery를 검증하고 전체 성공 오판이 없어야 한다.</x:v>
      </x:c>
      <x:c r="I582" s="12" t="str">
        <x:v>Owner=cpf-gateway / cpf-admin; Consumer=Gateway Proxy·Route Consumer; Scope=Route·Service·Zone·Cell·Group·Instance</x:v>
      </x:c>
      <x:c r="J582" s="12" t="str">
        <x:v>Runtime Control Plane, Approval, Audit, Runtime Registry, Migration</x:v>
      </x:c>
      <x:c r="K582" s="12" t="str">
        <x:v>기존 정상 CRUD·조회·업무 Consumer·Local/Remote·Batch 실행 회귀 금지</x:v>
      </x:c>
      <x:c r="L582" s="12" t="str">
        <x:v>WAS+MariaDB 우선; 미설치 외부 Provider는 Simulator 후 실제 연동 미검증</x:v>
      </x:c>
    </x:row>
    <x:row r="583">
      <x:c r="A583" s="12" t="str">
        <x:v>CPF-QA-D04-ADMRT-047</x:v>
      </x:c>
      <x:c r="B583" s="12" t="str">
        <x:v>ADMRT</x:v>
      </x:c>
      <x:c r="C583" s="12" t="str">
        <x:v>WP16</x:v>
      </x:c>
      <x:c r="D583" s="12" t="str">
        <x:v>재확인 필요</x:v>
      </x:c>
      <x:c r="E583" s="12" t="str">
        <x:v>P0</x:v>
      </x:c>
      <x:c r="F583" s="12" t="str">
        <x:v>Gateway — 멱등성·동시성·부분 실패</x:v>
      </x:c>
      <x:c r="G583" s="12" t="str">
        <x:v>Gateway 변경은 operationId, request hash, expectedVersion/CAS를 사용한다. 동일 요청 재시도는 Side Effect 1회, 동일 operationId의 다른 Payload는 409, 대상 일부 실패는 PARTIAL/UNKNOWN_RESULT로 보존한다.</x:v>
      </x:c>
      <x:c r="H583" s="12" t="str">
        <x:v>응답 유실·Controller 재시작·Agent 재시작·DB Timeout·동시 변경에서 중복 적용과 Lost Update가 없다.</x:v>
      </x:c>
      <x:c r="I583" s="12" t="str">
        <x:v>Owner=cpf-gateway / cpf-admin; Consumer=Gateway Proxy·Route Consumer; Scope=Route·Service·Zone·Cell·Group·Instance</x:v>
      </x:c>
      <x:c r="J583" s="12" t="str">
        <x:v>Runtime Control Plane, Approval, Audit, Runtime Registry, Migration</x:v>
      </x:c>
      <x:c r="K583" s="12" t="str">
        <x:v>기존 정상 CRUD·조회·업무 Consumer·Local/Remote·Batch 실행 회귀 금지</x:v>
      </x:c>
      <x:c r="L583" s="12" t="str">
        <x:v>WAS+MariaDB 우선; 미설치 외부 Provider는 Simulator 후 실제 연동 미검증</x:v>
      </x:c>
    </x:row>
    <x:row r="584">
      <x:c r="A584" s="12" t="str">
        <x:v>CPF-QA-D04-ADMRT-048</x:v>
      </x:c>
      <x:c r="B584" s="12" t="str">
        <x:v>ADMRT</x:v>
      </x:c>
      <x:c r="C584" s="12" t="str">
        <x:v>WP16</x:v>
      </x:c>
      <x:c r="D584" s="12" t="str">
        <x:v>재확인 필요</x:v>
      </x:c>
      <x:c r="E584" s="12" t="str">
        <x:v>P0</x:v>
      </x:c>
      <x:c r="F584" s="12" t="str">
        <x:v>Gateway — Retry·Cancel·Rollback·Reconcile</x:v>
      </x:c>
      <x:c r="G584" s="12" t="str">
        <x:v>Gateway는 실패 대상 Retry, 예약 변경 Cancel, Last Good Version Rollback 또는 승인된 Forward Recovery를 제공한다. Offline Instance 재접속과 Process 재기동 시 최신 Snapshot으로 Reconcile하고 Drift를 복구한다.</x:v>
      </x:c>
      <x:c r="H584" s="12" t="str">
        <x:v>Rollback 불가 변경을 성공으로 위장하지 않고, 자동/수동 복구 결과와 대상별 최종 상태를 추적한다.</x:v>
      </x:c>
      <x:c r="I584" s="12" t="str">
        <x:v>Owner=cpf-gateway / cpf-admin; Consumer=Gateway Proxy·Route Consumer; Scope=Route·Service·Zone·Cell·Group·Instance</x:v>
      </x:c>
      <x:c r="J584" s="12" t="str">
        <x:v>Runtime Control Plane, Approval, Audit, Runtime Registry, Migration</x:v>
      </x:c>
      <x:c r="K584" s="12" t="str">
        <x:v>기존 정상 CRUD·조회·업무 Consumer·Local/Remote·Batch 실행 회귀 금지</x:v>
      </x:c>
      <x:c r="L584" s="12" t="str">
        <x:v>WAS+MariaDB 우선; 미설치 외부 Provider는 Simulator 후 실제 연동 미검증</x:v>
      </x:c>
    </x:row>
    <x:row r="585">
      <x:c r="A585" s="12" t="str">
        <x:v>CPF-QA-D04-ADMRT-049</x:v>
      </x:c>
      <x:c r="B585" s="12" t="str">
        <x:v>ADMRT</x:v>
      </x:c>
      <x:c r="C585" s="12" t="str">
        <x:v>WP16</x:v>
      </x:c>
      <x:c r="D585" s="12" t="str">
        <x:v>재확인 필요</x:v>
      </x:c>
      <x:c r="E585" s="12" t="str">
        <x:v>P1</x:v>
      </x:c>
      <x:c r="F585" s="12" t="str">
        <x:v>Gateway — 보안·감사·Test·Evidence</x:v>
      </x:c>
      <x:c r="G585" s="12" t="str">
        <x:v>Gateway 조회·변경·복구는 민감정보 마스킹, Tenant/Domain 격리, 위험 조치 감사, 변경 전후 Hash, 결과·실패 기록을 제공한다. Public API/SPI·Consumer·DB·UI·OpenAPI·JavaDoc·EDU·자동 Test·최신 SHA Evidence를 연결한다.</x:v>
      </x:c>
      <x:c r="H585" s="12" t="str">
        <x:v>화면·Interface·YAML·Mock·Static PASS만으로 완료하지 않으며 정상/오류/경계/다중 Instance/재기동 시나리오를 실행한다.</x:v>
      </x:c>
      <x:c r="I585" s="12" t="str">
        <x:v>Owner=cpf-gateway / cpf-admin; Consumer=Gateway Proxy·Route Consumer; Scope=Route·Service·Zone·Cell·Group·Instance</x:v>
      </x:c>
      <x:c r="J585" s="12" t="str">
        <x:v>Runtime Control Plane, Approval, Audit, Runtime Registry, Migration</x:v>
      </x:c>
      <x:c r="K585" s="12" t="str">
        <x:v>기존 정상 CRUD·조회·업무 Consumer·Local/Remote·Batch 실행 회귀 금지</x:v>
      </x:c>
      <x:c r="L585" s="12" t="str">
        <x:v>WAS+MariaDB 우선; 미설치 외부 Provider는 Simulator 후 실제 연동 미검증</x:v>
      </x:c>
    </x:row>
    <x:row r="586">
      <x:c r="A586" s="12" t="str">
        <x:v>CPF-QA-D04-ADMRT-050</x:v>
      </x:c>
      <x:c r="B586" s="12" t="str">
        <x:v>ADMRT</x:v>
      </x:c>
      <x:c r="C586" s="12" t="str">
        <x:v>WP16</x:v>
      </x:c>
      <x:c r="D586" s="12" t="str">
        <x:v>재확인 필요</x:v>
      </x:c>
      <x:c r="E586" s="12" t="str">
        <x:v>P1</x:v>
      </x:c>
      <x:c r="F586" s="12" t="str">
        <x:v>로그·추적 — 현재 상태 조회와 정식 관리 객체</x:v>
      </x:c>
      <x:c r="G586" s="12" t="str">
        <x:v>로그·추적는 단순 문자열·화면 표시가 아니라 Owner가 명확한 정식 관리 객체여야 한다. ADM에서 Logger·Package·Domain·Transaction·Group·Instance 기준 검색·Paging·상세조회가 가능하고 Log Level·Sampling·Trace Boost·Masking·TTL·Desired/Actual의 현재 값, Version, 갱신 시각, Owner, 상태를 조회한다.</x:v>
      </x:c>
      <x:c r="H586" s="12" t="str">
        <x:v>Source·DB·API·ADM 화면에서 동일 ID/Version을 사용하고 빈 결과·오류·부분 조회를 구분한다.</x:v>
      </x:c>
      <x:c r="I586" s="12" t="str">
        <x:v>Owner=cpf-core / cpf-admin; Consumer=Logging Engine·Trace Consumer; Scope=Logger·Package·Domain·Transaction·Group·Instance</x:v>
      </x:c>
      <x:c r="J586" s="12" t="str">
        <x:v>Runtime Control Plane, Approval, Audit, Runtime Registry, Migration</x:v>
      </x:c>
      <x:c r="K586" s="12" t="str">
        <x:v>기존 정상 CRUD·조회·업무 Consumer·Local/Remote·Batch 실행 회귀 금지</x:v>
      </x:c>
      <x:c r="L586" s="12" t="str">
        <x:v>WAS+MariaDB 우선; 미설치 외부 Provider는 Simulator 후 실제 연동 미검증</x:v>
      </x:c>
    </x:row>
    <x:row r="587">
      <x:c r="A587" s="12" t="str">
        <x:v>CPF-QA-D04-ADMRT-051</x:v>
      </x:c>
      <x:c r="B587" s="12" t="str">
        <x:v>ADMRT</x:v>
      </x:c>
      <x:c r="C587" s="12" t="str">
        <x:v>WP16</x:v>
      </x:c>
      <x:c r="D587" s="12" t="str">
        <x:v>재확인 필요</x:v>
      </x:c>
      <x:c r="E587" s="12" t="str">
        <x:v>P0</x:v>
      </x:c>
      <x:c r="F587" s="12" t="str">
        <x:v>로그·추적 — 대상 선택과 Snapshot</x:v>
      </x:c>
      <x:c r="G587" s="12" t="str">
        <x:v>로그·추적 변경 대상은 Logger·Package·Domain·Transaction·Group·Instance로 선택하며 실행 전 고정 Target Snapshot을 생성한다. Dynamic Selector를 사용한 경우 Preview 시점과 승인·실행 시점의 대상 변화를 탐지하고 재승인을 요구한다.</x:v>
      </x:c>
      <x:c r="H587" s="12" t="str">
        <x:v>0건 대상·과다 대상·교차 Tenant/Domain 대상은 차단하고 Snapshot Hash와 대상 수가 Evidence에 남는다.</x:v>
      </x:c>
      <x:c r="I587" s="12" t="str">
        <x:v>Owner=cpf-core / cpf-admin; Consumer=Logging Engine·Trace Consumer; Scope=Logger·Package·Domain·Transaction·Group·Instance</x:v>
      </x:c>
      <x:c r="J587" s="12" t="str">
        <x:v>Runtime Control Plane, Approval, Audit, Runtime Registry, Migration</x:v>
      </x:c>
      <x:c r="K587" s="12" t="str">
        <x:v>기존 정상 CRUD·조회·업무 Consumer·Local/Remote·Batch 실행 회귀 금지</x:v>
      </x:c>
      <x:c r="L587" s="12" t="str">
        <x:v>WAS+MariaDB 우선; 미설치 외부 Provider는 Simulator 후 실제 연동 미검증</x:v>
      </x:c>
    </x:row>
    <x:row r="588">
      <x:c r="A588" s="12" t="str">
        <x:v>CPF-QA-D04-ADMRT-052</x:v>
      </x:c>
      <x:c r="B588" s="12" t="str">
        <x:v>ADMRT</x:v>
      </x:c>
      <x:c r="C588" s="12" t="str">
        <x:v>WP16</x:v>
      </x:c>
      <x:c r="D588" s="12" t="str">
        <x:v>재확인 필요</x:v>
      </x:c>
      <x:c r="E588" s="12" t="str">
        <x:v>P0</x:v>
      </x:c>
      <x:c r="F588" s="12" t="str">
        <x:v>로그·추적 — Preview·권한·사유·승인</x:v>
      </x:c>
      <x:c r="G588" s="12" t="str">
        <x:v>로그·추적 변경은 변경 전/후 값, 영향 Consumer, 재기동 여부, 예상 대상 수, 위험도, Rollback 가능 여부를 Preview한다. 권한·사유·고위험 승인·Break Glass 상한을 적용한다.</x:v>
      </x:c>
      <x:c r="H588" s="12" t="str">
        <x:v>권한 없음·사유 없음·승인 만료·Self Approval·상태 변경 경쟁 조건에서 Fail-Closed 한다.</x:v>
      </x:c>
      <x:c r="I588" s="12" t="str">
        <x:v>Owner=cpf-core / cpf-admin; Consumer=Logging Engine·Trace Consumer; Scope=Logger·Package·Domain·Transaction·Group·Instance</x:v>
      </x:c>
      <x:c r="J588" s="12" t="str">
        <x:v>Runtime Control Plane, Approval, Audit, Runtime Registry, Migration</x:v>
      </x:c>
      <x:c r="K588" s="12" t="str">
        <x:v>기존 정상 CRUD·조회·업무 Consumer·Local/Remote·Batch 실행 회귀 금지</x:v>
      </x:c>
      <x:c r="L588" s="12" t="str">
        <x:v>WAS+MariaDB 우선; 미설치 외부 Provider는 Simulator 후 실제 연동 미검증</x:v>
      </x:c>
    </x:row>
    <x:row r="589">
      <x:c r="A589" s="12" t="str">
        <x:v>CPF-QA-D04-ADMRT-053</x:v>
      </x:c>
      <x:c r="B589" s="12" t="str">
        <x:v>ADMRT</x:v>
      </x:c>
      <x:c r="C589" s="12" t="str">
        <x:v>WP16</x:v>
      </x:c>
      <x:c r="D589" s="12" t="str">
        <x:v>재확인 필요</x:v>
      </x:c>
      <x:c r="E589" s="12" t="str">
        <x:v>P0</x:v>
      </x:c>
      <x:c r="F589" s="12" t="str">
        <x:v>로그·추적 — Desired·Delivery·ACK·Actual·Drift</x:v>
      </x:c>
      <x:c r="G589" s="12" t="str">
        <x:v>로그·추적 변경은 DB 저장이나 현재 JVM 메모리 변경으로 끝내지 않는다. Desired Version을 생성하고 대상별 Delivery, ACK, Actual Version/Hash, 적용 시각, 실패 원인을 수집하여 Drift와 Backlog를 조회한다.</x:v>
      </x:c>
      <x:c r="H589" s="12" t="str">
        <x:v>2개 이상 Instance에서 전체/부분 성공·Offline·중복·역전 Delivery를 검증하고 전체 성공 오판이 없어야 한다.</x:v>
      </x:c>
      <x:c r="I589" s="12" t="str">
        <x:v>Owner=cpf-core / cpf-admin; Consumer=Logging Engine·Trace Consumer; Scope=Logger·Package·Domain·Transaction·Group·Instance</x:v>
      </x:c>
      <x:c r="J589" s="12" t="str">
        <x:v>Runtime Control Plane, Approval, Audit, Runtime Registry, Migration</x:v>
      </x:c>
      <x:c r="K589" s="12" t="str">
        <x:v>기존 정상 CRUD·조회·업무 Consumer·Local/Remote·Batch 실행 회귀 금지</x:v>
      </x:c>
      <x:c r="L589" s="12" t="str">
        <x:v>WAS+MariaDB 우선; 미설치 외부 Provider는 Simulator 후 실제 연동 미검증</x:v>
      </x:c>
    </x:row>
    <x:row r="590">
      <x:c r="A590" s="12" t="str">
        <x:v>CPF-QA-D04-ADMRT-054</x:v>
      </x:c>
      <x:c r="B590" s="12" t="str">
        <x:v>ADMRT</x:v>
      </x:c>
      <x:c r="C590" s="12" t="str">
        <x:v>WP16</x:v>
      </x:c>
      <x:c r="D590" s="12" t="str">
        <x:v>재확인 필요</x:v>
      </x:c>
      <x:c r="E590" s="12" t="str">
        <x:v>P0</x:v>
      </x:c>
      <x:c r="F590" s="12" t="str">
        <x:v>로그·추적 — 멱등성·동시성·부분 실패</x:v>
      </x:c>
      <x:c r="G590" s="12" t="str">
        <x:v>로그·추적 변경은 operationId, request hash, expectedVersion/CAS를 사용한다. 동일 요청 재시도는 Side Effect 1회, 동일 operationId의 다른 Payload는 409, 대상 일부 실패는 PARTIAL/UNKNOWN_RESULT로 보존한다.</x:v>
      </x:c>
      <x:c r="H590" s="12" t="str">
        <x:v>응답 유실·Controller 재시작·Agent 재시작·DB Timeout·동시 변경에서 중복 적용과 Lost Update가 없다.</x:v>
      </x:c>
      <x:c r="I590" s="12" t="str">
        <x:v>Owner=cpf-core / cpf-admin; Consumer=Logging Engine·Trace Consumer; Scope=Logger·Package·Domain·Transaction·Group·Instance</x:v>
      </x:c>
      <x:c r="J590" s="12" t="str">
        <x:v>Runtime Control Plane, Approval, Audit, Runtime Registry, Migration</x:v>
      </x:c>
      <x:c r="K590" s="12" t="str">
        <x:v>기존 정상 CRUD·조회·업무 Consumer·Local/Remote·Batch 실행 회귀 금지</x:v>
      </x:c>
      <x:c r="L590" s="12" t="str">
        <x:v>WAS+MariaDB 우선; 미설치 외부 Provider는 Simulator 후 실제 연동 미검증</x:v>
      </x:c>
    </x:row>
    <x:row r="591">
      <x:c r="A591" s="12" t="str">
        <x:v>CPF-QA-D04-ADMRT-055</x:v>
      </x:c>
      <x:c r="B591" s="12" t="str">
        <x:v>ADMRT</x:v>
      </x:c>
      <x:c r="C591" s="12" t="str">
        <x:v>WP16</x:v>
      </x:c>
      <x:c r="D591" s="12" t="str">
        <x:v>재확인 필요</x:v>
      </x:c>
      <x:c r="E591" s="12" t="str">
        <x:v>P0</x:v>
      </x:c>
      <x:c r="F591" s="12" t="str">
        <x:v>로그·추적 — Retry·Cancel·Rollback·Reconcile</x:v>
      </x:c>
      <x:c r="G591" s="12" t="str">
        <x:v>로그·추적는 실패 대상 Retry, 예약 변경 Cancel, Last Good Version Rollback 또는 승인된 Forward Recovery를 제공한다. Offline Instance 재접속과 Process 재기동 시 최신 Snapshot으로 Reconcile하고 Drift를 복구한다.</x:v>
      </x:c>
      <x:c r="H591" s="12" t="str">
        <x:v>Rollback 불가 변경을 성공으로 위장하지 않고, 자동/수동 복구 결과와 대상별 최종 상태를 추적한다.</x:v>
      </x:c>
      <x:c r="I591" s="12" t="str">
        <x:v>Owner=cpf-core / cpf-admin; Consumer=Logging Engine·Trace Consumer; Scope=Logger·Package·Domain·Transaction·Group·Instance</x:v>
      </x:c>
      <x:c r="J591" s="12" t="str">
        <x:v>Runtime Control Plane, Approval, Audit, Runtime Registry, Migration</x:v>
      </x:c>
      <x:c r="K591" s="12" t="str">
        <x:v>기존 정상 CRUD·조회·업무 Consumer·Local/Remote·Batch 실행 회귀 금지</x:v>
      </x:c>
      <x:c r="L591" s="12" t="str">
        <x:v>WAS+MariaDB 우선; 미설치 외부 Provider는 Simulator 후 실제 연동 미검증</x:v>
      </x:c>
    </x:row>
    <x:row r="592">
      <x:c r="A592" s="12" t="str">
        <x:v>CPF-QA-D04-ADMRT-056</x:v>
      </x:c>
      <x:c r="B592" s="12" t="str">
        <x:v>ADMRT</x:v>
      </x:c>
      <x:c r="C592" s="12" t="str">
        <x:v>WP16</x:v>
      </x:c>
      <x:c r="D592" s="12" t="str">
        <x:v>재확인 필요</x:v>
      </x:c>
      <x:c r="E592" s="12" t="str">
        <x:v>P1</x:v>
      </x:c>
      <x:c r="F592" s="12" t="str">
        <x:v>로그·추적 — 보안·감사·Test·Evidence</x:v>
      </x:c>
      <x:c r="G592" s="12" t="str">
        <x:v>로그·추적 조회·변경·복구는 민감정보 마스킹, Tenant/Domain 격리, 위험 조치 감사, 변경 전후 Hash, 결과·실패 기록을 제공한다. Public API/SPI·Consumer·DB·UI·OpenAPI·JavaDoc·EDU·자동 Test·최신 SHA Evidence를 연결한다.</x:v>
      </x:c>
      <x:c r="H592" s="12" t="str">
        <x:v>화면·Interface·YAML·Mock·Static PASS만으로 완료하지 않으며 정상/오류/경계/다중 Instance/재기동 시나리오를 실행한다.</x:v>
      </x:c>
      <x:c r="I592" s="12" t="str">
        <x:v>Owner=cpf-core / cpf-admin; Consumer=Logging Engine·Trace Consumer; Scope=Logger·Package·Domain·Transaction·Group·Instance</x:v>
      </x:c>
      <x:c r="J592" s="12" t="str">
        <x:v>Runtime Control Plane, Approval, Audit, Runtime Registry, Migration</x:v>
      </x:c>
      <x:c r="K592" s="12" t="str">
        <x:v>기존 정상 CRUD·조회·업무 Consumer·Local/Remote·Batch 실행 회귀 금지</x:v>
      </x:c>
      <x:c r="L592" s="12" t="str">
        <x:v>WAS+MariaDB 우선; 미설치 외부 Provider는 Simulator 후 실제 연동 미검증</x:v>
      </x:c>
    </x:row>
    <x:row r="593">
      <x:c r="A593" s="12" t="str">
        <x:v>CPF-QA-D04-ADMRT-057</x:v>
      </x:c>
      <x:c r="B593" s="12" t="str">
        <x:v>ADMRT</x:v>
      </x:c>
      <x:c r="C593" s="12" t="str">
        <x:v>WP16</x:v>
      </x:c>
      <x:c r="D593" s="12" t="str">
        <x:v>재확인 필요</x:v>
      </x:c>
      <x:c r="E593" s="12" t="str">
        <x:v>P1</x:v>
      </x:c>
      <x:c r="F593" s="12" t="str">
        <x:v>Batch·Scheduler·Worker·Center-Cut·Agent — 현재 상태 조회와 정식 관리 객체</x:v>
      </x:c>
      <x:c r="G593" s="12" t="str">
        <x:v>Batch·Scheduler·Worker·Center-Cut·Agent는 단순 문자열·화면 표시가 아니라 Owner가 명확한 정식 관리 객체여야 한다. ADM에서 Job·Step·Chunk·Partition·Pool·Group·Instance 기준 검색·Paging·상세조회가 가능하고 Run/Stop/Pause/Resume/Cancel·Lock·Ghost·Checkpoint·Reprocess의 현재 값, Version, 갱신 시각, Owner, 상태를 조회한다.</x:v>
      </x:c>
      <x:c r="H593" s="12" t="str">
        <x:v>Source·DB·API·ADM 화면에서 동일 ID/Version을 사용하고 빈 결과·오류·부분 조회를 구분한다.</x:v>
      </x:c>
      <x:c r="I593" s="12" t="str">
        <x:v>Owner=cpf-batch / cpf-admin; Consumer=Control Server·Scheduler·Worker·Runner·Agent; Scope=Job·Step·Chunk·Partition·Pool·Group·Instance</x:v>
      </x:c>
      <x:c r="J593" s="12" t="str">
        <x:v>Runtime Control Plane, Approval, Audit, Runtime Registry, Migration</x:v>
      </x:c>
      <x:c r="K593" s="12" t="str">
        <x:v>기존 정상 CRUD·조회·업무 Consumer·Local/Remote·Batch 실행 회귀 금지</x:v>
      </x:c>
      <x:c r="L593" s="12" t="str">
        <x:v>WAS+MariaDB 우선; 미설치 외부 Provider는 Simulator 후 실제 연동 미검증</x:v>
      </x:c>
    </x:row>
    <x:row r="594">
      <x:c r="A594" s="12" t="str">
        <x:v>CPF-QA-D04-ADMRT-058</x:v>
      </x:c>
      <x:c r="B594" s="12" t="str">
        <x:v>ADMRT</x:v>
      </x:c>
      <x:c r="C594" s="12" t="str">
        <x:v>WP16</x:v>
      </x:c>
      <x:c r="D594" s="12" t="str">
        <x:v>재확인 필요</x:v>
      </x:c>
      <x:c r="E594" s="12" t="str">
        <x:v>P0</x:v>
      </x:c>
      <x:c r="F594" s="12" t="str">
        <x:v>Batch·Scheduler·Worker·Center-Cut·Agent — 대상 선택과 Snapshot</x:v>
      </x:c>
      <x:c r="G594" s="12" t="str">
        <x:v>Batch·Scheduler·Worker·Center-Cut·Agent 변경 대상은 Job·Step·Chunk·Partition·Pool·Group·Instance로 선택하며 실행 전 고정 Target Snapshot을 생성한다. Dynamic Selector를 사용한 경우 Preview 시점과 승인·실행 시점의 대상 변화를 탐지하고 재승인을 요구한다.</x:v>
      </x:c>
      <x:c r="H594" s="12" t="str">
        <x:v>0건 대상·과다 대상·교차 Tenant/Domain 대상은 차단하고 Snapshot Hash와 대상 수가 Evidence에 남는다.</x:v>
      </x:c>
      <x:c r="I594" s="12" t="str">
        <x:v>Owner=cpf-batch / cpf-admin; Consumer=Control Server·Scheduler·Worker·Runner·Agent; Scope=Job·Step·Chunk·Partition·Pool·Group·Instance</x:v>
      </x:c>
      <x:c r="J594" s="12" t="str">
        <x:v>Runtime Control Plane, Approval, Audit, Runtime Registry, Migration</x:v>
      </x:c>
      <x:c r="K594" s="12" t="str">
        <x:v>기존 정상 CRUD·조회·업무 Consumer·Local/Remote·Batch 실행 회귀 금지</x:v>
      </x:c>
      <x:c r="L594" s="12" t="str">
        <x:v>WAS+MariaDB 우선; 미설치 외부 Provider는 Simulator 후 실제 연동 미검증</x:v>
      </x:c>
    </x:row>
    <x:row r="595">
      <x:c r="A595" s="12" t="str">
        <x:v>CPF-QA-D04-ADMRT-059</x:v>
      </x:c>
      <x:c r="B595" s="12" t="str">
        <x:v>ADMRT</x:v>
      </x:c>
      <x:c r="C595" s="12" t="str">
        <x:v>WP16</x:v>
      </x:c>
      <x:c r="D595" s="12" t="str">
        <x:v>재확인 필요</x:v>
      </x:c>
      <x:c r="E595" s="12" t="str">
        <x:v>P0</x:v>
      </x:c>
      <x:c r="F595" s="12" t="str">
        <x:v>Batch·Scheduler·Worker·Center-Cut·Agent — Preview·권한·사유·승인</x:v>
      </x:c>
      <x:c r="G595" s="12" t="str">
        <x:v>Batch·Scheduler·Worker·Center-Cut·Agent 변경은 변경 전/후 값, 영향 Consumer, 재기동 여부, 예상 대상 수, 위험도, Rollback 가능 여부를 Preview한다. 권한·사유·고위험 승인·Break Glass 상한을 적용한다.</x:v>
      </x:c>
      <x:c r="H595" s="12" t="str">
        <x:v>권한 없음·사유 없음·승인 만료·Self Approval·상태 변경 경쟁 조건에서 Fail-Closed 한다.</x:v>
      </x:c>
      <x:c r="I595" s="12" t="str">
        <x:v>Owner=cpf-batch / cpf-admin; Consumer=Control Server·Scheduler·Worker·Runner·Agent; Scope=Job·Step·Chunk·Partition·Pool·Group·Instance</x:v>
      </x:c>
      <x:c r="J595" s="12" t="str">
        <x:v>Runtime Control Plane, Approval, Audit, Runtime Registry, Migration</x:v>
      </x:c>
      <x:c r="K595" s="12" t="str">
        <x:v>기존 정상 CRUD·조회·업무 Consumer·Local/Remote·Batch 실행 회귀 금지</x:v>
      </x:c>
      <x:c r="L595" s="12" t="str">
        <x:v>WAS+MariaDB 우선; 미설치 외부 Provider는 Simulator 후 실제 연동 미검증</x:v>
      </x:c>
    </x:row>
    <x:row r="596">
      <x:c r="A596" s="12" t="str">
        <x:v>CPF-QA-D04-ADMRT-060</x:v>
      </x:c>
      <x:c r="B596" s="12" t="str">
        <x:v>ADMRT</x:v>
      </x:c>
      <x:c r="C596" s="12" t="str">
        <x:v>WP16</x:v>
      </x:c>
      <x:c r="D596" s="12" t="str">
        <x:v>재확인 필요</x:v>
      </x:c>
      <x:c r="E596" s="12" t="str">
        <x:v>P0</x:v>
      </x:c>
      <x:c r="F596" s="12" t="str">
        <x:v>Batch·Scheduler·Worker·Center-Cut·Agent — Desired·Delivery·ACK·Actual·Drift</x:v>
      </x:c>
      <x:c r="G596" s="12" t="str">
        <x:v>Batch·Scheduler·Worker·Center-Cut·Agent 변경은 DB 저장이나 현재 JVM 메모리 변경으로 끝내지 않는다. Desired Version을 생성하고 대상별 Delivery, ACK, Actual Version/Hash, 적용 시각, 실패 원인을 수집하여 Drift와 Backlog를 조회한다.</x:v>
      </x:c>
      <x:c r="H596" s="12" t="str">
        <x:v>2개 이상 Instance에서 전체/부분 성공·Offline·중복·역전 Delivery를 검증하고 전체 성공 오판이 없어야 한다.</x:v>
      </x:c>
      <x:c r="I596" s="12" t="str">
        <x:v>Owner=cpf-batch / cpf-admin; Consumer=Control Server·Scheduler·Worker·Runner·Agent; Scope=Job·Step·Chunk·Partition·Pool·Group·Instance</x:v>
      </x:c>
      <x:c r="J596" s="12" t="str">
        <x:v>Runtime Control Plane, Approval, Audit, Runtime Registry, Migration</x:v>
      </x:c>
      <x:c r="K596" s="12" t="str">
        <x:v>기존 정상 CRUD·조회·업무 Consumer·Local/Remote·Batch 실행 회귀 금지</x:v>
      </x:c>
      <x:c r="L596" s="12" t="str">
        <x:v>WAS+MariaDB 우선; 미설치 외부 Provider는 Simulator 후 실제 연동 미검증</x:v>
      </x:c>
    </x:row>
    <x:row r="597">
      <x:c r="A597" s="12" t="str">
        <x:v>CPF-QA-D04-ADMRT-061</x:v>
      </x:c>
      <x:c r="B597" s="12" t="str">
        <x:v>ADMRT</x:v>
      </x:c>
      <x:c r="C597" s="12" t="str">
        <x:v>WP16</x:v>
      </x:c>
      <x:c r="D597" s="12" t="str">
        <x:v>재확인 필요</x:v>
      </x:c>
      <x:c r="E597" s="12" t="str">
        <x:v>P0</x:v>
      </x:c>
      <x:c r="F597" s="12" t="str">
        <x:v>Batch·Scheduler·Worker·Center-Cut·Agent — 멱등성·동시성·부분 실패</x:v>
      </x:c>
      <x:c r="G597" s="12" t="str">
        <x:v>Batch·Scheduler·Worker·Center-Cut·Agent 변경은 operationId, request hash, expectedVersion/CAS를 사용한다. 동일 요청 재시도는 Side Effect 1회, 동일 operationId의 다른 Payload는 409, 대상 일부 실패는 PARTIAL/UNKNOWN_RESULT로 보존한다.</x:v>
      </x:c>
      <x:c r="H597" s="12" t="str">
        <x:v>응답 유실·Controller 재시작·Agent 재시작·DB Timeout·동시 변경에서 중복 적용과 Lost Update가 없다.</x:v>
      </x:c>
      <x:c r="I597" s="12" t="str">
        <x:v>Owner=cpf-batch / cpf-admin; Consumer=Control Server·Scheduler·Worker·Runner·Agent; Scope=Job·Step·Chunk·Partition·Pool·Group·Instance</x:v>
      </x:c>
      <x:c r="J597" s="12" t="str">
        <x:v>Runtime Control Plane, Approval, Audit, Runtime Registry, Migration</x:v>
      </x:c>
      <x:c r="K597" s="12" t="str">
        <x:v>기존 정상 CRUD·조회·업무 Consumer·Local/Remote·Batch 실행 회귀 금지</x:v>
      </x:c>
      <x:c r="L597" s="12" t="str">
        <x:v>WAS+MariaDB 우선; 미설치 외부 Provider는 Simulator 후 실제 연동 미검증</x:v>
      </x:c>
    </x:row>
    <x:row r="598">
      <x:c r="A598" s="12" t="str">
        <x:v>CPF-QA-D04-ADMRT-062</x:v>
      </x:c>
      <x:c r="B598" s="12" t="str">
        <x:v>ADMRT</x:v>
      </x:c>
      <x:c r="C598" s="12" t="str">
        <x:v>WP16</x:v>
      </x:c>
      <x:c r="D598" s="12" t="str">
        <x:v>재확인 필요</x:v>
      </x:c>
      <x:c r="E598" s="12" t="str">
        <x:v>P0</x:v>
      </x:c>
      <x:c r="F598" s="12" t="str">
        <x:v>Batch·Scheduler·Worker·Center-Cut·Agent — Retry·Cancel·Rollback·Reconcile</x:v>
      </x:c>
      <x:c r="G598" s="12" t="str">
        <x:v>Batch·Scheduler·Worker·Center-Cut·Agent는 실패 대상 Retry, 예약 변경 Cancel, Last Good Version Rollback 또는 승인된 Forward Recovery를 제공한다. Offline Instance 재접속과 Process 재기동 시 최신 Snapshot으로 Reconcile하고 Drift를 복구한다.</x:v>
      </x:c>
      <x:c r="H598" s="12" t="str">
        <x:v>Rollback 불가 변경을 성공으로 위장하지 않고, 자동/수동 복구 결과와 대상별 최종 상태를 추적한다.</x:v>
      </x:c>
      <x:c r="I598" s="12" t="str">
        <x:v>Owner=cpf-batch / cpf-admin; Consumer=Control Server·Scheduler·Worker·Runner·Agent; Scope=Job·Step·Chunk·Partition·Pool·Group·Instance</x:v>
      </x:c>
      <x:c r="J598" s="12" t="str">
        <x:v>Runtime Control Plane, Approval, Audit, Runtime Registry, Migration</x:v>
      </x:c>
      <x:c r="K598" s="12" t="str">
        <x:v>기존 정상 CRUD·조회·업무 Consumer·Local/Remote·Batch 실행 회귀 금지</x:v>
      </x:c>
      <x:c r="L598" s="12" t="str">
        <x:v>WAS+MariaDB 우선; 미설치 외부 Provider는 Simulator 후 실제 연동 미검증</x:v>
      </x:c>
    </x:row>
    <x:row r="599">
      <x:c r="A599" s="12" t="str">
        <x:v>CPF-QA-D04-ADMRT-063</x:v>
      </x:c>
      <x:c r="B599" s="12" t="str">
        <x:v>ADMRT</x:v>
      </x:c>
      <x:c r="C599" s="12" t="str">
        <x:v>WP16</x:v>
      </x:c>
      <x:c r="D599" s="12" t="str">
        <x:v>재확인 필요</x:v>
      </x:c>
      <x:c r="E599" s="12" t="str">
        <x:v>P1</x:v>
      </x:c>
      <x:c r="F599" s="12" t="str">
        <x:v>Batch·Scheduler·Worker·Center-Cut·Agent — 보안·감사·Test·Evidence</x:v>
      </x:c>
      <x:c r="G599" s="12" t="str">
        <x:v>Batch·Scheduler·Worker·Center-Cut·Agent 조회·변경·복구는 민감정보 마스킹, Tenant/Domain 격리, 위험 조치 감사, 변경 전후 Hash, 결과·실패 기록을 제공한다. Public API/SPI·Consumer·DB·UI·OpenAPI·JavaDoc·EDU·자동 Test·최신 SHA Evidence를 연결한다.</x:v>
      </x:c>
      <x:c r="H599" s="12" t="str">
        <x:v>화면·Interface·YAML·Mock·Static PASS만으로 완료하지 않으며 정상/오류/경계/다중 Instance/재기동 시나리오를 실행한다.</x:v>
      </x:c>
      <x:c r="I599" s="12" t="str">
        <x:v>Owner=cpf-batch / cpf-admin; Consumer=Control Server·Scheduler·Worker·Runner·Agent; Scope=Job·Step·Chunk·Partition·Pool·Group·Instance</x:v>
      </x:c>
      <x:c r="J599" s="12" t="str">
        <x:v>Runtime Control Plane, Approval, Audit, Runtime Registry, Migration</x:v>
      </x:c>
      <x:c r="K599" s="12" t="str">
        <x:v>기존 정상 CRUD·조회·업무 Consumer·Local/Remote·Batch 실행 회귀 금지</x:v>
      </x:c>
      <x:c r="L599" s="12" t="str">
        <x:v>WAS+MariaDB 우선; 미설치 외부 Provider는 Simulator 후 실제 연동 미검증</x:v>
      </x:c>
    </x:row>
    <x:row r="600">
      <x:c r="A600" s="12" t="str">
        <x:v>CPF-QA-D04-ADMRT-064</x:v>
      </x:c>
      <x:c r="B600" s="12" t="str">
        <x:v>ADMRT</x:v>
      </x:c>
      <x:c r="C600" s="12" t="str">
        <x:v>WP16</x:v>
      </x:c>
      <x:c r="D600" s="12" t="str">
        <x:v>재확인 필요</x:v>
      </x:c>
      <x:c r="E600" s="12" t="str">
        <x:v>P1</x:v>
      </x:c>
      <x:c r="F600" s="12" t="str">
        <x:v>Security Runtime Policy — 현재 상태 조회와 정식 관리 객체</x:v>
      </x:c>
      <x:c r="G600" s="12" t="str">
        <x:v>Security Runtime Policy는 단순 문자열·화면 표시가 아니라 Owner가 명확한 정식 관리 객체여야 한다. ADM에서 Environment·Domain·Group·Instance·Principal 기준 검색·Paging·상세조회가 가능하고 Permission·Masking·JWT Key·Certificate·Secret Ref·Rotation의 현재 값, Version, 갱신 시각, Owner, 상태를 조회한다.</x:v>
      </x:c>
      <x:c r="H600" s="12" t="str">
        <x:v>Source·DB·API·ADM 화면에서 동일 ID/Version을 사용하고 빈 결과·오류·부분 조회를 구분한다.</x:v>
      </x:c>
      <x:c r="I600" s="12" t="str">
        <x:v>Owner=cpf-core / cpf-admin / cpf-biz-admin; Consumer=AuthN/AuthZ·Masking·Secret Consumer; Scope=Environment·Domain·Group·Instance·Principal</x:v>
      </x:c>
      <x:c r="J600" s="12" t="str">
        <x:v>Runtime Control Plane, Approval, Audit, Runtime Registry, Migration</x:v>
      </x:c>
      <x:c r="K600" s="12" t="str">
        <x:v>기존 정상 CRUD·조회·업무 Consumer·Local/Remote·Batch 실행 회귀 금지</x:v>
      </x:c>
      <x:c r="L600" s="12" t="str">
        <x:v>WAS+MariaDB 우선; 미설치 외부 Provider는 Simulator 후 실제 연동 미검증</x:v>
      </x:c>
    </x:row>
    <x:row r="601">
      <x:c r="A601" s="12" t="str">
        <x:v>CPF-QA-D04-ADMRT-065</x:v>
      </x:c>
      <x:c r="B601" s="12" t="str">
        <x:v>ADMRT</x:v>
      </x:c>
      <x:c r="C601" s="12" t="str">
        <x:v>WP16</x:v>
      </x:c>
      <x:c r="D601" s="12" t="str">
        <x:v>재확인 필요</x:v>
      </x:c>
      <x:c r="E601" s="12" t="str">
        <x:v>P0</x:v>
      </x:c>
      <x:c r="F601" s="12" t="str">
        <x:v>Security Runtime Policy — 대상 선택과 Snapshot</x:v>
      </x:c>
      <x:c r="G601" s="12" t="str">
        <x:v>Security Runtime Policy 변경 대상은 Environment·Domain·Group·Instance·Principal로 선택하며 실행 전 고정 Target Snapshot을 생성한다. Dynamic Selector를 사용한 경우 Preview 시점과 승인·실행 시점의 대상 변화를 탐지하고 재승인을 요구한다.</x:v>
      </x:c>
      <x:c r="H601" s="12" t="str">
        <x:v>0건 대상·과다 대상·교차 Tenant/Domain 대상은 차단하고 Snapshot Hash와 대상 수가 Evidence에 남는다.</x:v>
      </x:c>
      <x:c r="I601" s="12" t="str">
        <x:v>Owner=cpf-core / cpf-admin / cpf-biz-admin; Consumer=AuthN/AuthZ·Masking·Secret Consumer; Scope=Environment·Domain·Group·Instance·Principal</x:v>
      </x:c>
      <x:c r="J601" s="12" t="str">
        <x:v>Runtime Control Plane, Approval, Audit, Runtime Registry, Migration</x:v>
      </x:c>
      <x:c r="K601" s="12" t="str">
        <x:v>기존 정상 CRUD·조회·업무 Consumer·Local/Remote·Batch 실행 회귀 금지</x:v>
      </x:c>
      <x:c r="L601" s="12" t="str">
        <x:v>WAS+MariaDB 우선; 미설치 외부 Provider는 Simulator 후 실제 연동 미검증</x:v>
      </x:c>
    </x:row>
    <x:row r="602">
      <x:c r="A602" s="12" t="str">
        <x:v>CPF-QA-D04-ADMRT-066</x:v>
      </x:c>
      <x:c r="B602" s="12" t="str">
        <x:v>ADMRT</x:v>
      </x:c>
      <x:c r="C602" s="12" t="str">
        <x:v>WP16</x:v>
      </x:c>
      <x:c r="D602" s="12" t="str">
        <x:v>재확인 필요</x:v>
      </x:c>
      <x:c r="E602" s="12" t="str">
        <x:v>P0</x:v>
      </x:c>
      <x:c r="F602" s="12" t="str">
        <x:v>Security Runtime Policy — Preview·권한·사유·승인</x:v>
      </x:c>
      <x:c r="G602" s="12" t="str">
        <x:v>Security Runtime Policy 변경은 변경 전/후 값, 영향 Consumer, 재기동 여부, 예상 대상 수, 위험도, Rollback 가능 여부를 Preview한다. 권한·사유·고위험 승인·Break Glass 상한을 적용한다.</x:v>
      </x:c>
      <x:c r="H602" s="12" t="str">
        <x:v>권한 없음·사유 없음·승인 만료·Self Approval·상태 변경 경쟁 조건에서 Fail-Closed 한다.</x:v>
      </x:c>
      <x:c r="I602" s="12" t="str">
        <x:v>Owner=cpf-core / cpf-admin / cpf-biz-admin; Consumer=AuthN/AuthZ·Masking·Secret Consumer; Scope=Environment·Domain·Group·Instance·Principal</x:v>
      </x:c>
      <x:c r="J602" s="12" t="str">
        <x:v>Runtime Control Plane, Approval, Audit, Runtime Registry, Migration</x:v>
      </x:c>
      <x:c r="K602" s="12" t="str">
        <x:v>기존 정상 CRUD·조회·업무 Consumer·Local/Remote·Batch 실행 회귀 금지</x:v>
      </x:c>
      <x:c r="L602" s="12" t="str">
        <x:v>WAS+MariaDB 우선; 미설치 외부 Provider는 Simulator 후 실제 연동 미검증</x:v>
      </x:c>
    </x:row>
    <x:row r="603">
      <x:c r="A603" s="12" t="str">
        <x:v>CPF-QA-D04-ADMRT-067</x:v>
      </x:c>
      <x:c r="B603" s="12" t="str">
        <x:v>ADMRT</x:v>
      </x:c>
      <x:c r="C603" s="12" t="str">
        <x:v>WP16</x:v>
      </x:c>
      <x:c r="D603" s="12" t="str">
        <x:v>재확인 필요</x:v>
      </x:c>
      <x:c r="E603" s="12" t="str">
        <x:v>P0</x:v>
      </x:c>
      <x:c r="F603" s="12" t="str">
        <x:v>Security Runtime Policy — Desired·Delivery·ACK·Actual·Drift</x:v>
      </x:c>
      <x:c r="G603" s="12" t="str">
        <x:v>Security Runtime Policy 변경은 DB 저장이나 현재 JVM 메모리 변경으로 끝내지 않는다. Desired Version을 생성하고 대상별 Delivery, ACK, Actual Version/Hash, 적용 시각, 실패 원인을 수집하여 Drift와 Backlog를 조회한다.</x:v>
      </x:c>
      <x:c r="H603" s="12" t="str">
        <x:v>2개 이상 Instance에서 전체/부분 성공·Offline·중복·역전 Delivery를 검증하고 전체 성공 오판이 없어야 한다.</x:v>
      </x:c>
      <x:c r="I603" s="12" t="str">
        <x:v>Owner=cpf-core / cpf-admin / cpf-biz-admin; Consumer=AuthN/AuthZ·Masking·Secret Consumer; Scope=Environment·Domain·Group·Instance·Principal</x:v>
      </x:c>
      <x:c r="J603" s="12" t="str">
        <x:v>Runtime Control Plane, Approval, Audit, Runtime Registry, Migration</x:v>
      </x:c>
      <x:c r="K603" s="12" t="str">
        <x:v>기존 정상 CRUD·조회·업무 Consumer·Local/Remote·Batch 실행 회귀 금지</x:v>
      </x:c>
      <x:c r="L603" s="12" t="str">
        <x:v>WAS+MariaDB 우선; 미설치 외부 Provider는 Simulator 후 실제 연동 미검증</x:v>
      </x:c>
    </x:row>
    <x:row r="604">
      <x:c r="A604" s="12" t="str">
        <x:v>CPF-QA-D04-ADMRT-068</x:v>
      </x:c>
      <x:c r="B604" s="12" t="str">
        <x:v>ADMRT</x:v>
      </x:c>
      <x:c r="C604" s="12" t="str">
        <x:v>WP16</x:v>
      </x:c>
      <x:c r="D604" s="12" t="str">
        <x:v>재확인 필요</x:v>
      </x:c>
      <x:c r="E604" s="12" t="str">
        <x:v>P0</x:v>
      </x:c>
      <x:c r="F604" s="12" t="str">
        <x:v>Security Runtime Policy — 멱등성·동시성·부분 실패</x:v>
      </x:c>
      <x:c r="G604" s="12" t="str">
        <x:v>Security Runtime Policy 변경은 operationId, request hash, expectedVersion/CAS를 사용한다. 동일 요청 재시도는 Side Effect 1회, 동일 operationId의 다른 Payload는 409, 대상 일부 실패는 PARTIAL/UNKNOWN_RESULT로 보존한다.</x:v>
      </x:c>
      <x:c r="H604" s="12" t="str">
        <x:v>응답 유실·Controller 재시작·Agent 재시작·DB Timeout·동시 변경에서 중복 적용과 Lost Update가 없다.</x:v>
      </x:c>
      <x:c r="I604" s="12" t="str">
        <x:v>Owner=cpf-core / cpf-admin / cpf-biz-admin; Consumer=AuthN/AuthZ·Masking·Secret Consumer; Scope=Environment·Domain·Group·Instance·Principal</x:v>
      </x:c>
      <x:c r="J604" s="12" t="str">
        <x:v>Runtime Control Plane, Approval, Audit, Runtime Registry, Migration</x:v>
      </x:c>
      <x:c r="K604" s="12" t="str">
        <x:v>기존 정상 CRUD·조회·업무 Consumer·Local/Remote·Batch 실행 회귀 금지</x:v>
      </x:c>
      <x:c r="L604" s="12" t="str">
        <x:v>WAS+MariaDB 우선; 미설치 외부 Provider는 Simulator 후 실제 연동 미검증</x:v>
      </x:c>
    </x:row>
    <x:row r="605">
      <x:c r="A605" s="12" t="str">
        <x:v>CPF-QA-D04-ADMRT-069</x:v>
      </x:c>
      <x:c r="B605" s="12" t="str">
        <x:v>ADMRT</x:v>
      </x:c>
      <x:c r="C605" s="12" t="str">
        <x:v>WP16</x:v>
      </x:c>
      <x:c r="D605" s="12" t="str">
        <x:v>재확인 필요</x:v>
      </x:c>
      <x:c r="E605" s="12" t="str">
        <x:v>P0</x:v>
      </x:c>
      <x:c r="F605" s="12" t="str">
        <x:v>Security Runtime Policy — Retry·Cancel·Rollback·Reconcile</x:v>
      </x:c>
      <x:c r="G605" s="12" t="str">
        <x:v>Security Runtime Policy는 실패 대상 Retry, 예약 변경 Cancel, Last Good Version Rollback 또는 승인된 Forward Recovery를 제공한다. Offline Instance 재접속과 Process 재기동 시 최신 Snapshot으로 Reconcile하고 Drift를 복구한다.</x:v>
      </x:c>
      <x:c r="H605" s="12" t="str">
        <x:v>Rollback 불가 변경을 성공으로 위장하지 않고, 자동/수동 복구 결과와 대상별 최종 상태를 추적한다.</x:v>
      </x:c>
      <x:c r="I605" s="12" t="str">
        <x:v>Owner=cpf-core / cpf-admin / cpf-biz-admin; Consumer=AuthN/AuthZ·Masking·Secret Consumer; Scope=Environment·Domain·Group·Instance·Principal</x:v>
      </x:c>
      <x:c r="J605" s="12" t="str">
        <x:v>Runtime Control Plane, Approval, Audit, Runtime Registry, Migration</x:v>
      </x:c>
      <x:c r="K605" s="12" t="str">
        <x:v>기존 정상 CRUD·조회·업무 Consumer·Local/Remote·Batch 실행 회귀 금지</x:v>
      </x:c>
      <x:c r="L605" s="12" t="str">
        <x:v>WAS+MariaDB 우선; 미설치 외부 Provider는 Simulator 후 실제 연동 미검증</x:v>
      </x:c>
    </x:row>
    <x:row r="606">
      <x:c r="A606" s="12" t="str">
        <x:v>CPF-QA-D04-ADMRT-070</x:v>
      </x:c>
      <x:c r="B606" s="12" t="str">
        <x:v>ADMRT</x:v>
      </x:c>
      <x:c r="C606" s="12" t="str">
        <x:v>WP16</x:v>
      </x:c>
      <x:c r="D606" s="12" t="str">
        <x:v>재확인 필요</x:v>
      </x:c>
      <x:c r="E606" s="12" t="str">
        <x:v>P1</x:v>
      </x:c>
      <x:c r="F606" s="12" t="str">
        <x:v>Security Runtime Policy — 보안·감사·Test·Evidence</x:v>
      </x:c>
      <x:c r="G606" s="12" t="str">
        <x:v>Security Runtime Policy 조회·변경·복구는 민감정보 마스킹, Tenant/Domain 격리, 위험 조치 감사, 변경 전후 Hash, 결과·실패 기록을 제공한다. Public API/SPI·Consumer·DB·UI·OpenAPI·JavaDoc·EDU·자동 Test·최신 SHA Evidence를 연결한다.</x:v>
      </x:c>
      <x:c r="H606" s="12" t="str">
        <x:v>화면·Interface·YAML·Mock·Static PASS만으로 완료하지 않으며 정상/오류/경계/다중 Instance/재기동 시나리오를 실행한다.</x:v>
      </x:c>
      <x:c r="I606" s="12" t="str">
        <x:v>Owner=cpf-core / cpf-admin / cpf-biz-admin; Consumer=AuthN/AuthZ·Masking·Secret Consumer; Scope=Environment·Domain·Group·Instance·Principal</x:v>
      </x:c>
      <x:c r="J606" s="12" t="str">
        <x:v>Runtime Control Plane, Approval, Audit, Runtime Registry, Migration</x:v>
      </x:c>
      <x:c r="K606" s="12" t="str">
        <x:v>기존 정상 CRUD·조회·업무 Consumer·Local/Remote·Batch 실행 회귀 금지</x:v>
      </x:c>
      <x:c r="L606" s="12" t="str">
        <x:v>WAS+MariaDB 우선; 미설치 외부 Provider는 Simulator 후 실제 연동 미검증</x:v>
      </x:c>
    </x:row>
    <x:row r="607">
      <x:c r="A607" s="12" t="str">
        <x:v>CPF-QA-D04-ADMRT-071</x:v>
      </x:c>
      <x:c r="B607" s="12" t="str">
        <x:v>ADMRT</x:v>
      </x:c>
      <x:c r="C607" s="12" t="str">
        <x:v>WP16</x:v>
      </x:c>
      <x:c r="D607" s="12" t="str">
        <x:v>재확인 필요</x:v>
      </x:c>
      <x:c r="E607" s="12" t="str">
        <x:v>P1</x:v>
      </x:c>
      <x:c r="F607" s="12" t="str">
        <x:v>외부연계·Messaging·File — 현재 상태 조회와 정식 관리 객체</x:v>
      </x:c>
      <x:c r="G607" s="12" t="str">
        <x:v>외부연계·Messaging·File는 단순 문자열·화면 표시가 아니라 Owner가 명확한 정식 관리 객체여야 한다. ADM에서 Provider·Endpoint·Consumer Group·Group·Instance 기준 검색·Paging·상세조회가 가능하고 Timeout·Retry·DLQ·Concurrency·SFTP/File/Webhook·Simulator의 현재 값, Version, 갱신 시각, Owner, 상태를 조회한다.</x:v>
      </x:c>
      <x:c r="H607" s="12" t="str">
        <x:v>Source·DB·API·ADM 화면에서 동일 ID/Version을 사용하고 빈 결과·오류·부분 조회를 구분한다.</x:v>
      </x:c>
      <x:c r="I607" s="12" t="str">
        <x:v>Owner=cpf-core / generated domain / cpf-admin; Consumer=HTTP/TCP/SOAP/gRPC·Broker·File Adapter; Scope=Provider·Endpoint·Consumer Group·Group·Instance</x:v>
      </x:c>
      <x:c r="J607" s="12" t="str">
        <x:v>Runtime Control Plane, Approval, Audit, Runtime Registry, Migration</x:v>
      </x:c>
      <x:c r="K607" s="12" t="str">
        <x:v>기존 정상 CRUD·조회·업무 Consumer·Local/Remote·Batch 실행 회귀 금지</x:v>
      </x:c>
      <x:c r="L607" s="12" t="str">
        <x:v>WAS+MariaDB 우선; 미설치 외부 Provider는 Simulator 후 실제 연동 미검증</x:v>
      </x:c>
    </x:row>
    <x:row r="608">
      <x:c r="A608" s="12" t="str">
        <x:v>CPF-QA-D04-ADMRT-072</x:v>
      </x:c>
      <x:c r="B608" s="12" t="str">
        <x:v>ADMRT</x:v>
      </x:c>
      <x:c r="C608" s="12" t="str">
        <x:v>WP16</x:v>
      </x:c>
      <x:c r="D608" s="12" t="str">
        <x:v>재확인 필요</x:v>
      </x:c>
      <x:c r="E608" s="12" t="str">
        <x:v>P0</x:v>
      </x:c>
      <x:c r="F608" s="12" t="str">
        <x:v>외부연계·Messaging·File — 대상 선택과 Snapshot</x:v>
      </x:c>
      <x:c r="G608" s="12" t="str">
        <x:v>외부연계·Messaging·File 변경 대상은 Provider·Endpoint·Consumer Group·Group·Instance로 선택하며 실행 전 고정 Target Snapshot을 생성한다. Dynamic Selector를 사용한 경우 Preview 시점과 승인·실행 시점의 대상 변화를 탐지하고 재승인을 요구한다.</x:v>
      </x:c>
      <x:c r="H608" s="12" t="str">
        <x:v>0건 대상·과다 대상·교차 Tenant/Domain 대상은 차단하고 Snapshot Hash와 대상 수가 Evidence에 남는다.</x:v>
      </x:c>
      <x:c r="I608" s="12" t="str">
        <x:v>Owner=cpf-core / generated domain / cpf-admin; Consumer=HTTP/TCP/SOAP/gRPC·Broker·File Adapter; Scope=Provider·Endpoint·Consumer Group·Group·Instance</x:v>
      </x:c>
      <x:c r="J608" s="12" t="str">
        <x:v>Runtime Control Plane, Approval, Audit, Runtime Registry, Migration</x:v>
      </x:c>
      <x:c r="K608" s="12" t="str">
        <x:v>기존 정상 CRUD·조회·업무 Consumer·Local/Remote·Batch 실행 회귀 금지</x:v>
      </x:c>
      <x:c r="L608" s="12" t="str">
        <x:v>WAS+MariaDB 우선; 미설치 외부 Provider는 Simulator 후 실제 연동 미검증</x:v>
      </x:c>
    </x:row>
    <x:row r="609">
      <x:c r="A609" s="12" t="str">
        <x:v>CPF-QA-D04-ADMRT-073</x:v>
      </x:c>
      <x:c r="B609" s="12" t="str">
        <x:v>ADMRT</x:v>
      </x:c>
      <x:c r="C609" s="12" t="str">
        <x:v>WP16</x:v>
      </x:c>
      <x:c r="D609" s="12" t="str">
        <x:v>재확인 필요</x:v>
      </x:c>
      <x:c r="E609" s="12" t="str">
        <x:v>P0</x:v>
      </x:c>
      <x:c r="F609" s="12" t="str">
        <x:v>외부연계·Messaging·File — Preview·권한·사유·승인</x:v>
      </x:c>
      <x:c r="G609" s="12" t="str">
        <x:v>외부연계·Messaging·File 변경은 변경 전/후 값, 영향 Consumer, 재기동 여부, 예상 대상 수, 위험도, Rollback 가능 여부를 Preview한다. 권한·사유·고위험 승인·Break Glass 상한을 적용한다.</x:v>
      </x:c>
      <x:c r="H609" s="12" t="str">
        <x:v>권한 없음·사유 없음·승인 만료·Self Approval·상태 변경 경쟁 조건에서 Fail-Closed 한다.</x:v>
      </x:c>
      <x:c r="I609" s="12" t="str">
        <x:v>Owner=cpf-core / generated domain / cpf-admin; Consumer=HTTP/TCP/SOAP/gRPC·Broker·File Adapter; Scope=Provider·Endpoint·Consumer Group·Group·Instance</x:v>
      </x:c>
      <x:c r="J609" s="12" t="str">
        <x:v>Runtime Control Plane, Approval, Audit, Runtime Registry, Migration</x:v>
      </x:c>
      <x:c r="K609" s="12" t="str">
        <x:v>기존 정상 CRUD·조회·업무 Consumer·Local/Remote·Batch 실행 회귀 금지</x:v>
      </x:c>
      <x:c r="L609" s="12" t="str">
        <x:v>WAS+MariaDB 우선; 미설치 외부 Provider는 Simulator 후 실제 연동 미검증</x:v>
      </x:c>
    </x:row>
    <x:row r="610">
      <x:c r="A610" s="12" t="str">
        <x:v>CPF-QA-D04-ADMRT-074</x:v>
      </x:c>
      <x:c r="B610" s="12" t="str">
        <x:v>ADMRT</x:v>
      </x:c>
      <x:c r="C610" s="12" t="str">
        <x:v>WP16</x:v>
      </x:c>
      <x:c r="D610" s="12" t="str">
        <x:v>재확인 필요</x:v>
      </x:c>
      <x:c r="E610" s="12" t="str">
        <x:v>P0</x:v>
      </x:c>
      <x:c r="F610" s="12" t="str">
        <x:v>외부연계·Messaging·File — Desired·Delivery·ACK·Actual·Drift</x:v>
      </x:c>
      <x:c r="G610" s="12" t="str">
        <x:v>외부연계·Messaging·File 변경은 DB 저장이나 현재 JVM 메모리 변경으로 끝내지 않는다. Desired Version을 생성하고 대상별 Delivery, ACK, Actual Version/Hash, 적용 시각, 실패 원인을 수집하여 Drift와 Backlog를 조회한다.</x:v>
      </x:c>
      <x:c r="H610" s="12" t="str">
        <x:v>2개 이상 Instance에서 전체/부분 성공·Offline·중복·역전 Delivery를 검증하고 전체 성공 오판이 없어야 한다.</x:v>
      </x:c>
      <x:c r="I610" s="12" t="str">
        <x:v>Owner=cpf-core / generated domain / cpf-admin; Consumer=HTTP/TCP/SOAP/gRPC·Broker·File Adapter; Scope=Provider·Endpoint·Consumer Group·Group·Instance</x:v>
      </x:c>
      <x:c r="J610" s="12" t="str">
        <x:v>Runtime Control Plane, Approval, Audit, Runtime Registry, Migration</x:v>
      </x:c>
      <x:c r="K610" s="12" t="str">
        <x:v>기존 정상 CRUD·조회·업무 Consumer·Local/Remote·Batch 실행 회귀 금지</x:v>
      </x:c>
      <x:c r="L610" s="12" t="str">
        <x:v>WAS+MariaDB 우선; 미설치 외부 Provider는 Simulator 후 실제 연동 미검증</x:v>
      </x:c>
    </x:row>
    <x:row r="611">
      <x:c r="A611" s="12" t="str">
        <x:v>CPF-QA-D04-ADMRT-075</x:v>
      </x:c>
      <x:c r="B611" s="12" t="str">
        <x:v>ADMRT</x:v>
      </x:c>
      <x:c r="C611" s="12" t="str">
        <x:v>WP16</x:v>
      </x:c>
      <x:c r="D611" s="12" t="str">
        <x:v>재확인 필요</x:v>
      </x:c>
      <x:c r="E611" s="12" t="str">
        <x:v>P0</x:v>
      </x:c>
      <x:c r="F611" s="12" t="str">
        <x:v>외부연계·Messaging·File — 멱등성·동시성·부분 실패</x:v>
      </x:c>
      <x:c r="G611" s="12" t="str">
        <x:v>외부연계·Messaging·File 변경은 operationId, request hash, expectedVersion/CAS를 사용한다. 동일 요청 재시도는 Side Effect 1회, 동일 operationId의 다른 Payload는 409, 대상 일부 실패는 PARTIAL/UNKNOWN_RESULT로 보존한다.</x:v>
      </x:c>
      <x:c r="H611" s="12" t="str">
        <x:v>응답 유실·Controller 재시작·Agent 재시작·DB Timeout·동시 변경에서 중복 적용과 Lost Update가 없다.</x:v>
      </x:c>
      <x:c r="I611" s="12" t="str">
        <x:v>Owner=cpf-core / generated domain / cpf-admin; Consumer=HTTP/TCP/SOAP/gRPC·Broker·File Adapter; Scope=Provider·Endpoint·Consumer Group·Group·Instance</x:v>
      </x:c>
      <x:c r="J611" s="12" t="str">
        <x:v>Runtime Control Plane, Approval, Audit, Runtime Registry, Migration</x:v>
      </x:c>
      <x:c r="K611" s="12" t="str">
        <x:v>기존 정상 CRUD·조회·업무 Consumer·Local/Remote·Batch 실행 회귀 금지</x:v>
      </x:c>
      <x:c r="L611" s="12" t="str">
        <x:v>WAS+MariaDB 우선; 미설치 외부 Provider는 Simulator 후 실제 연동 미검증</x:v>
      </x:c>
    </x:row>
    <x:row r="612">
      <x:c r="A612" s="12" t="str">
        <x:v>CPF-QA-D04-ADMRT-076</x:v>
      </x:c>
      <x:c r="B612" s="12" t="str">
        <x:v>ADMRT</x:v>
      </x:c>
      <x:c r="C612" s="12" t="str">
        <x:v>WP16</x:v>
      </x:c>
      <x:c r="D612" s="12" t="str">
        <x:v>재확인 필요</x:v>
      </x:c>
      <x:c r="E612" s="12" t="str">
        <x:v>P0</x:v>
      </x:c>
      <x:c r="F612" s="12" t="str">
        <x:v>외부연계·Messaging·File — Retry·Cancel·Rollback·Reconcile</x:v>
      </x:c>
      <x:c r="G612" s="12" t="str">
        <x:v>외부연계·Messaging·File는 실패 대상 Retry, 예약 변경 Cancel, Last Good Version Rollback 또는 승인된 Forward Recovery를 제공한다. Offline Instance 재접속과 Process 재기동 시 최신 Snapshot으로 Reconcile하고 Drift를 복구한다.</x:v>
      </x:c>
      <x:c r="H612" s="12" t="str">
        <x:v>Rollback 불가 변경을 성공으로 위장하지 않고, 자동/수동 복구 결과와 대상별 최종 상태를 추적한다.</x:v>
      </x:c>
      <x:c r="I612" s="12" t="str">
        <x:v>Owner=cpf-core / generated domain / cpf-admin; Consumer=HTTP/TCP/SOAP/gRPC·Broker·File Adapter; Scope=Provider·Endpoint·Consumer Group·Group·Instance</x:v>
      </x:c>
      <x:c r="J612" s="12" t="str">
        <x:v>Runtime Control Plane, Approval, Audit, Runtime Registry, Migration</x:v>
      </x:c>
      <x:c r="K612" s="12" t="str">
        <x:v>기존 정상 CRUD·조회·업무 Consumer·Local/Remote·Batch 실행 회귀 금지</x:v>
      </x:c>
      <x:c r="L612" s="12" t="str">
        <x:v>WAS+MariaDB 우선; 미설치 외부 Provider는 Simulator 후 실제 연동 미검증</x:v>
      </x:c>
    </x:row>
    <x:row r="613">
      <x:c r="A613" s="12" t="str">
        <x:v>CPF-QA-D04-ADMRT-077</x:v>
      </x:c>
      <x:c r="B613" s="12" t="str">
        <x:v>ADMRT</x:v>
      </x:c>
      <x:c r="C613" s="12" t="str">
        <x:v>WP16</x:v>
      </x:c>
      <x:c r="D613" s="12" t="str">
        <x:v>재확인 필요</x:v>
      </x:c>
      <x:c r="E613" s="12" t="str">
        <x:v>P1</x:v>
      </x:c>
      <x:c r="F613" s="12" t="str">
        <x:v>외부연계·Messaging·File — 보안·감사·Test·Evidence</x:v>
      </x:c>
      <x:c r="G613" s="12" t="str">
        <x:v>외부연계·Messaging·File 조회·변경·복구는 민감정보 마스킹, Tenant/Domain 격리, 위험 조치 감사, 변경 전후 Hash, 결과·실패 기록을 제공한다. Public API/SPI·Consumer·DB·UI·OpenAPI·JavaDoc·EDU·자동 Test·최신 SHA Evidence를 연결한다.</x:v>
      </x:c>
      <x:c r="H613" s="12" t="str">
        <x:v>화면·Interface·YAML·Mock·Static PASS만으로 완료하지 않으며 정상/오류/경계/다중 Instance/재기동 시나리오를 실행한다.</x:v>
      </x:c>
      <x:c r="I613" s="12" t="str">
        <x:v>Owner=cpf-core / generated domain / cpf-admin; Consumer=HTTP/TCP/SOAP/gRPC·Broker·File Adapter; Scope=Provider·Endpoint·Consumer Group·Group·Instance</x:v>
      </x:c>
      <x:c r="J613" s="12" t="str">
        <x:v>Runtime Control Plane, Approval, Audit, Runtime Registry, Migration</x:v>
      </x:c>
      <x:c r="K613" s="12" t="str">
        <x:v>기존 정상 CRUD·조회·업무 Consumer·Local/Remote·Batch 실행 회귀 금지</x:v>
      </x:c>
      <x:c r="L613" s="12" t="str">
        <x:v>WAS+MariaDB 우선; 미설치 외부 Provider는 Simulator 후 실제 연동 미검증</x:v>
      </x:c>
    </x:row>
    <x:row r="614">
      <x:c r="A614" s="12" t="str">
        <x:v>CPF-QA-D04-ADMRT-078</x:v>
      </x:c>
      <x:c r="B614" s="12" t="str">
        <x:v>ADMRT</x:v>
      </x:c>
      <x:c r="C614" s="12" t="str">
        <x:v>WP16</x:v>
      </x:c>
      <x:c r="D614" s="12" t="str">
        <x:v>재확인 필요</x:v>
      </x:c>
      <x:c r="E614" s="12" t="str">
        <x:v>P1</x:v>
      </x:c>
      <x:c r="F614" s="12" t="str">
        <x:v>인스턴스·그룹 관리 — 현재 상태 조회와 정식 관리 객체</x:v>
      </x:c>
      <x:c r="G614" s="12" t="str">
        <x:v>인스턴스·그룹 관리는 단순 문자열·화면 표시가 아니라 Owner가 명확한 정식 관리 객체여야 한다. ADM에서 Environment→Cluster→Domain/System→Application Group→Role→Instance 기준 검색·Paging·상세조회가 가능하고 Membership·Heartbeat·Lease·Fencing·Version Mix·Capacity의 현재 값, Version, 갱신 시각, Owner, 상태를 조회한다.</x:v>
      </x:c>
      <x:c r="H614" s="12" t="str">
        <x:v>Source·DB·API·ADM 화면에서 동일 ID/Version을 사용하고 빈 결과·오류·부분 조회를 구분한다.</x:v>
      </x:c>
      <x:c r="I614" s="12" t="str">
        <x:v>Owner=cpf-admin / cpf-core / cpf-batch; Consumer=Runtime Registration·Routing·Control Plane; Scope=Environment→Cluster→Domain/System→Application Group→Role→Instance</x:v>
      </x:c>
      <x:c r="J614" s="12" t="str">
        <x:v>Runtime Control Plane, Approval, Audit, Runtime Registry, Migration</x:v>
      </x:c>
      <x:c r="K614" s="12" t="str">
        <x:v>기존 정상 CRUD·조회·업무 Consumer·Local/Remote·Batch 실행 회귀 금지</x:v>
      </x:c>
      <x:c r="L614" s="12" t="str">
        <x:v>WAS+MariaDB 우선; 미설치 외부 Provider는 Simulator 후 실제 연동 미검증</x:v>
      </x:c>
    </x:row>
    <x:row r="615">
      <x:c r="A615" s="12" t="str">
        <x:v>CPF-QA-D04-ADMRT-079</x:v>
      </x:c>
      <x:c r="B615" s="12" t="str">
        <x:v>ADMRT</x:v>
      </x:c>
      <x:c r="C615" s="12" t="str">
        <x:v>WP16</x:v>
      </x:c>
      <x:c r="D615" s="12" t="str">
        <x:v>재확인 필요</x:v>
      </x:c>
      <x:c r="E615" s="12" t="str">
        <x:v>P0</x:v>
      </x:c>
      <x:c r="F615" s="12" t="str">
        <x:v>인스턴스·그룹 관리 — 대상 선택과 Snapshot</x:v>
      </x:c>
      <x:c r="G615" s="12" t="str">
        <x:v>인스턴스·그룹 관리 변경 대상은 Environment→Cluster→Domain/System→Application Group→Role→Instance로 선택하며 실행 전 고정 Target Snapshot을 생성한다. Dynamic Selector를 사용한 경우 Preview 시점과 승인·실행 시점의 대상 변화를 탐지하고 재승인을 요구한다.</x:v>
      </x:c>
      <x:c r="H615" s="12" t="str">
        <x:v>0건 대상·과다 대상·교차 Tenant/Domain 대상은 차단하고 Snapshot Hash와 대상 수가 Evidence에 남는다.</x:v>
      </x:c>
      <x:c r="I615" s="12" t="str">
        <x:v>Owner=cpf-admin / cpf-core / cpf-batch; Consumer=Runtime Registration·Routing·Control Plane; Scope=Environment→Cluster→Domain/System→Application Group→Role→Instance</x:v>
      </x:c>
      <x:c r="J615" s="12" t="str">
        <x:v>Runtime Control Plane, Approval, Audit, Runtime Registry, Migration</x:v>
      </x:c>
      <x:c r="K615" s="12" t="str">
        <x:v>기존 정상 CRUD·조회·업무 Consumer·Local/Remote·Batch 실행 회귀 금지</x:v>
      </x:c>
      <x:c r="L615" s="12" t="str">
        <x:v>WAS+MariaDB 우선; 미설치 외부 Provider는 Simulator 후 실제 연동 미검증</x:v>
      </x:c>
    </x:row>
    <x:row r="616">
      <x:c r="A616" s="12" t="str">
        <x:v>CPF-QA-D04-ADMRT-080</x:v>
      </x:c>
      <x:c r="B616" s="12" t="str">
        <x:v>ADMRT</x:v>
      </x:c>
      <x:c r="C616" s="12" t="str">
        <x:v>WP16</x:v>
      </x:c>
      <x:c r="D616" s="12" t="str">
        <x:v>재확인 필요</x:v>
      </x:c>
      <x:c r="E616" s="12" t="str">
        <x:v>P0</x:v>
      </x:c>
      <x:c r="F616" s="12" t="str">
        <x:v>인스턴스·그룹 관리 — Preview·권한·사유·승인</x:v>
      </x:c>
      <x:c r="G616" s="12" t="str">
        <x:v>인스턴스·그룹 관리 변경은 변경 전/후 값, 영향 Consumer, 재기동 여부, 예상 대상 수, 위험도, Rollback 가능 여부를 Preview한다. 권한·사유·고위험 승인·Break Glass 상한을 적용한다.</x:v>
      </x:c>
      <x:c r="H616" s="12" t="str">
        <x:v>권한 없음·사유 없음·승인 만료·Self Approval·상태 변경 경쟁 조건에서 Fail-Closed 한다.</x:v>
      </x:c>
      <x:c r="I616" s="12" t="str">
        <x:v>Owner=cpf-admin / cpf-core / cpf-batch; Consumer=Runtime Registration·Routing·Control Plane; Scope=Environment→Cluster→Domain/System→Application Group→Role→Instance</x:v>
      </x:c>
      <x:c r="J616" s="12" t="str">
        <x:v>Runtime Control Plane, Approval, Audit, Runtime Registry, Migration</x:v>
      </x:c>
      <x:c r="K616" s="12" t="str">
        <x:v>기존 정상 CRUD·조회·업무 Consumer·Local/Remote·Batch 실행 회귀 금지</x:v>
      </x:c>
      <x:c r="L616" s="12" t="str">
        <x:v>WAS+MariaDB 우선; 미설치 외부 Provider는 Simulator 후 실제 연동 미검증</x:v>
      </x:c>
    </x:row>
    <x:row r="617">
      <x:c r="A617" s="12" t="str">
        <x:v>CPF-QA-D04-ADMRT-081</x:v>
      </x:c>
      <x:c r="B617" s="12" t="str">
        <x:v>ADMRT</x:v>
      </x:c>
      <x:c r="C617" s="12" t="str">
        <x:v>WP16</x:v>
      </x:c>
      <x:c r="D617" s="12" t="str">
        <x:v>재확인 필요</x:v>
      </x:c>
      <x:c r="E617" s="12" t="str">
        <x:v>P0</x:v>
      </x:c>
      <x:c r="F617" s="12" t="str">
        <x:v>인스턴스·그룹 관리 — Desired·Delivery·ACK·Actual·Drift</x:v>
      </x:c>
      <x:c r="G617" s="12" t="str">
        <x:v>인스턴스·그룹 관리 변경은 DB 저장이나 현재 JVM 메모리 변경으로 끝내지 않는다. Desired Version을 생성하고 대상별 Delivery, ACK, Actual Version/Hash, 적용 시각, 실패 원인을 수집하여 Drift와 Backlog를 조회한다.</x:v>
      </x:c>
      <x:c r="H617" s="12" t="str">
        <x:v>2개 이상 Instance에서 전체/부분 성공·Offline·중복·역전 Delivery를 검증하고 전체 성공 오판이 없어야 한다.</x:v>
      </x:c>
      <x:c r="I617" s="12" t="str">
        <x:v>Owner=cpf-admin / cpf-core / cpf-batch; Consumer=Runtime Registration·Routing·Control Plane; Scope=Environment→Cluster→Domain/System→Application Group→Role→Instance</x:v>
      </x:c>
      <x:c r="J617" s="12" t="str">
        <x:v>Runtime Control Plane, Approval, Audit, Runtime Registry, Migration</x:v>
      </x:c>
      <x:c r="K617" s="12" t="str">
        <x:v>기존 정상 CRUD·조회·업무 Consumer·Local/Remote·Batch 실행 회귀 금지</x:v>
      </x:c>
      <x:c r="L617" s="12" t="str">
        <x:v>WAS+MariaDB 우선; 미설치 외부 Provider는 Simulator 후 실제 연동 미검증</x:v>
      </x:c>
    </x:row>
    <x:row r="618">
      <x:c r="A618" s="12" t="str">
        <x:v>CPF-QA-D04-ADMRT-082</x:v>
      </x:c>
      <x:c r="B618" s="12" t="str">
        <x:v>ADMRT</x:v>
      </x:c>
      <x:c r="C618" s="12" t="str">
        <x:v>WP16</x:v>
      </x:c>
      <x:c r="D618" s="12" t="str">
        <x:v>재확인 필요</x:v>
      </x:c>
      <x:c r="E618" s="12" t="str">
        <x:v>P0</x:v>
      </x:c>
      <x:c r="F618" s="12" t="str">
        <x:v>인스턴스·그룹 관리 — 멱등성·동시성·부분 실패</x:v>
      </x:c>
      <x:c r="G618" s="12" t="str">
        <x:v>인스턴스·그룹 관리 변경은 operationId, request hash, expectedVersion/CAS를 사용한다. 동일 요청 재시도는 Side Effect 1회, 동일 operationId의 다른 Payload는 409, 대상 일부 실패는 PARTIAL/UNKNOWN_RESULT로 보존한다.</x:v>
      </x:c>
      <x:c r="H618" s="12" t="str">
        <x:v>응답 유실·Controller 재시작·Agent 재시작·DB Timeout·동시 변경에서 중복 적용과 Lost Update가 없다.</x:v>
      </x:c>
      <x:c r="I618" s="12" t="str">
        <x:v>Owner=cpf-admin / cpf-core / cpf-batch; Consumer=Runtime Registration·Routing·Control Plane; Scope=Environment→Cluster→Domain/System→Application Group→Role→Instance</x:v>
      </x:c>
      <x:c r="J618" s="12" t="str">
        <x:v>Runtime Control Plane, Approval, Audit, Runtime Registry, Migration</x:v>
      </x:c>
      <x:c r="K618" s="12" t="str">
        <x:v>기존 정상 CRUD·조회·업무 Consumer·Local/Remote·Batch 실행 회귀 금지</x:v>
      </x:c>
      <x:c r="L618" s="12" t="str">
        <x:v>WAS+MariaDB 우선; 미설치 외부 Provider는 Simulator 후 실제 연동 미검증</x:v>
      </x:c>
    </x:row>
    <x:row r="619">
      <x:c r="A619" s="12" t="str">
        <x:v>CPF-QA-D04-ADMRT-083</x:v>
      </x:c>
      <x:c r="B619" s="12" t="str">
        <x:v>ADMRT</x:v>
      </x:c>
      <x:c r="C619" s="12" t="str">
        <x:v>WP16</x:v>
      </x:c>
      <x:c r="D619" s="12" t="str">
        <x:v>재확인 필요</x:v>
      </x:c>
      <x:c r="E619" s="12" t="str">
        <x:v>P0</x:v>
      </x:c>
      <x:c r="F619" s="12" t="str">
        <x:v>인스턴스·그룹 관리 — Retry·Cancel·Rollback·Reconcile</x:v>
      </x:c>
      <x:c r="G619" s="12" t="str">
        <x:v>인스턴스·그룹 관리는 실패 대상 Retry, 예약 변경 Cancel, Last Good Version Rollback 또는 승인된 Forward Recovery를 제공한다. Offline Instance 재접속과 Process 재기동 시 최신 Snapshot으로 Reconcile하고 Drift를 복구한다.</x:v>
      </x:c>
      <x:c r="H619" s="12" t="str">
        <x:v>Rollback 불가 변경을 성공으로 위장하지 않고, 자동/수동 복구 결과와 대상별 최종 상태를 추적한다.</x:v>
      </x:c>
      <x:c r="I619" s="12" t="str">
        <x:v>Owner=cpf-admin / cpf-core / cpf-batch; Consumer=Runtime Registration·Routing·Control Plane; Scope=Environment→Cluster→Domain/System→Application Group→Role→Instance</x:v>
      </x:c>
      <x:c r="J619" s="12" t="str">
        <x:v>Runtime Control Plane, Approval, Audit, Runtime Registry, Migration</x:v>
      </x:c>
      <x:c r="K619" s="12" t="str">
        <x:v>기존 정상 CRUD·조회·업무 Consumer·Local/Remote·Batch 실행 회귀 금지</x:v>
      </x:c>
      <x:c r="L619" s="12" t="str">
        <x:v>WAS+MariaDB 우선; 미설치 외부 Provider는 Simulator 후 실제 연동 미검증</x:v>
      </x:c>
    </x:row>
    <x:row r="620">
      <x:c r="A620" s="12" t="str">
        <x:v>CPF-QA-D04-ADMRT-084</x:v>
      </x:c>
      <x:c r="B620" s="12" t="str">
        <x:v>ADMRT</x:v>
      </x:c>
      <x:c r="C620" s="12" t="str">
        <x:v>WP16</x:v>
      </x:c>
      <x:c r="D620" s="12" t="str">
        <x:v>재확인 필요</x:v>
      </x:c>
      <x:c r="E620" s="12" t="str">
        <x:v>P1</x:v>
      </x:c>
      <x:c r="F620" s="12" t="str">
        <x:v>인스턴스·그룹 관리 — 보안·감사·Test·Evidence</x:v>
      </x:c>
      <x:c r="G620" s="12" t="str">
        <x:v>인스턴스·그룹 관리 조회·변경·복구는 민감정보 마스킹, Tenant/Domain 격리, 위험 조치 감사, 변경 전후 Hash, 결과·실패 기록을 제공한다. Public API/SPI·Consumer·DB·UI·OpenAPI·JavaDoc·EDU·자동 Test·최신 SHA Evidence를 연결한다.</x:v>
      </x:c>
      <x:c r="H620" s="12" t="str">
        <x:v>화면·Interface·YAML·Mock·Static PASS만으로 완료하지 않으며 정상/오류/경계/다중 Instance/재기동 시나리오를 실행한다.</x:v>
      </x:c>
      <x:c r="I620" s="12" t="str">
        <x:v>Owner=cpf-admin / cpf-core / cpf-batch; Consumer=Runtime Registration·Routing·Control Plane; Scope=Environment→Cluster→Domain/System→Application Group→Role→Instance</x:v>
      </x:c>
      <x:c r="J620" s="12" t="str">
        <x:v>Runtime Control Plane, Approval, Audit, Runtime Registry, Migration</x:v>
      </x:c>
      <x:c r="K620" s="12" t="str">
        <x:v>기존 정상 CRUD·조회·업무 Consumer·Local/Remote·Batch 실행 회귀 금지</x:v>
      </x:c>
      <x:c r="L620" s="12" t="str">
        <x:v>WAS+MariaDB 우선; 미설치 외부 Provider는 Simulator 후 실제 연동 미검증</x:v>
      </x:c>
    </x:row>
    <x:row r="621">
      <x:c r="A621" s="12" t="str">
        <x:v>CPF-QA-D04-ADMRT-085</x:v>
      </x:c>
      <x:c r="B621" s="12" t="str">
        <x:v>ADMRT</x:v>
      </x:c>
      <x:c r="C621" s="12" t="str">
        <x:v>WP16</x:v>
      </x:c>
      <x:c r="D621" s="12" t="str">
        <x:v>재확인 필요</x:v>
      </x:c>
      <x:c r="E621" s="12" t="str">
        <x:v>P1</x:v>
      </x:c>
      <x:c r="F621" s="12" t="str">
        <x:v>인스턴스별 로그 다운로드 — 현재 상태 조회와 정식 관리 객체</x:v>
      </x:c>
      <x:c r="G621" s="12" t="str">
        <x:v>인스턴스별 로그 다운로드는 단순 문자열·화면 표시가 아니라 Owner가 명확한 정식 관리 객체여야 한다. ADM에서 System·Domain·Group·Instance·Log Type·Period·Trace/Transaction 기준 검색·Paging·상세조회가 가능하고 List·Stream·ZIP·Archive·Masking·Temp Lifecycle의 현재 값, Version, 갱신 시각, Owner, 상태를 조회한다.</x:v>
      </x:c>
      <x:c r="H621" s="12" t="str">
        <x:v>Source·DB·API·ADM 화면에서 동일 ID/Version을 사용하고 빈 결과·오류·부분 조회를 구분한다.</x:v>
      </x:c>
      <x:c r="I621" s="12" t="str">
        <x:v>Owner=cpf-admin / cpf-batch host-agent; Consumer=ADM Download Service·Agent Log API; Scope=System·Domain·Group·Instance·Log Type·Period·Trace/Transaction</x:v>
      </x:c>
      <x:c r="J621" s="12" t="str">
        <x:v>Runtime Control Plane, Approval, Audit, Runtime Registry, Migration</x:v>
      </x:c>
      <x:c r="K621" s="12" t="str">
        <x:v>기존 정상 CRUD·조회·업무 Consumer·Local/Remote·Batch 실행 회귀 금지</x:v>
      </x:c>
      <x:c r="L621" s="12" t="str">
        <x:v>WAS+MariaDB 우선; 미설치 외부 Provider는 Simulator 후 실제 연동 미검증</x:v>
      </x:c>
    </x:row>
    <x:row r="622">
      <x:c r="A622" s="12" t="str">
        <x:v>CPF-QA-D04-ADMRT-086</x:v>
      </x:c>
      <x:c r="B622" s="12" t="str">
        <x:v>ADMRT</x:v>
      </x:c>
      <x:c r="C622" s="12" t="str">
        <x:v>WP16</x:v>
      </x:c>
      <x:c r="D622" s="12" t="str">
        <x:v>재확인 필요</x:v>
      </x:c>
      <x:c r="E622" s="12" t="str">
        <x:v>P0</x:v>
      </x:c>
      <x:c r="F622" s="12" t="str">
        <x:v>인스턴스별 로그 다운로드 — 대상 선택과 Snapshot</x:v>
      </x:c>
      <x:c r="G622" s="12" t="str">
        <x:v>인스턴스별 로그 다운로드 변경 대상은 System·Domain·Group·Instance·Log Type·Period·Trace/Transaction로 선택하며 실행 전 고정 Target Snapshot을 생성한다. Dynamic Selector를 사용한 경우 Preview 시점과 승인·실행 시점의 대상 변화를 탐지하고 재승인을 요구한다.</x:v>
      </x:c>
      <x:c r="H622" s="12" t="str">
        <x:v>0건 대상·과다 대상·교차 Tenant/Domain 대상은 차단하고 Snapshot Hash와 대상 수가 Evidence에 남는다.</x:v>
      </x:c>
      <x:c r="I622" s="12" t="str">
        <x:v>Owner=cpf-admin / cpf-batch host-agent; Consumer=ADM Download Service·Agent Log API; Scope=System·Domain·Group·Instance·Log Type·Period·Trace/Transaction</x:v>
      </x:c>
      <x:c r="J622" s="12" t="str">
        <x:v>Runtime Control Plane, Approval, Audit, Runtime Registry, Migration</x:v>
      </x:c>
      <x:c r="K622" s="12" t="str">
        <x:v>기존 정상 CRUD·조회·업무 Consumer·Local/Remote·Batch 실행 회귀 금지</x:v>
      </x:c>
      <x:c r="L622" s="12" t="str">
        <x:v>WAS+MariaDB 우선; 미설치 외부 Provider는 Simulator 후 실제 연동 미검증</x:v>
      </x:c>
    </x:row>
    <x:row r="623">
      <x:c r="A623" s="12" t="str">
        <x:v>CPF-QA-D04-ADMRT-087</x:v>
      </x:c>
      <x:c r="B623" s="12" t="str">
        <x:v>ADMRT</x:v>
      </x:c>
      <x:c r="C623" s="12" t="str">
        <x:v>WP16</x:v>
      </x:c>
      <x:c r="D623" s="12" t="str">
        <x:v>재확인 필요</x:v>
      </x:c>
      <x:c r="E623" s="12" t="str">
        <x:v>P0</x:v>
      </x:c>
      <x:c r="F623" s="12" t="str">
        <x:v>인스턴스별 로그 다운로드 — Preview·권한·사유·승인</x:v>
      </x:c>
      <x:c r="G623" s="12" t="str">
        <x:v>인스턴스별 로그 다운로드 변경은 변경 전/후 값, 영향 Consumer, 재기동 여부, 예상 대상 수, 위험도, Rollback 가능 여부를 Preview한다. 권한·사유·고위험 승인·Break Glass 상한을 적용한다.</x:v>
      </x:c>
      <x:c r="H623" s="12" t="str">
        <x:v>권한 없음·사유 없음·승인 만료·Self Approval·상태 변경 경쟁 조건에서 Fail-Closed 한다.</x:v>
      </x:c>
      <x:c r="I623" s="12" t="str">
        <x:v>Owner=cpf-admin / cpf-batch host-agent; Consumer=ADM Download Service·Agent Log API; Scope=System·Domain·Group·Instance·Log Type·Period·Trace/Transaction</x:v>
      </x:c>
      <x:c r="J623" s="12" t="str">
        <x:v>Runtime Control Plane, Approval, Audit, Runtime Registry, Migration</x:v>
      </x:c>
      <x:c r="K623" s="12" t="str">
        <x:v>기존 정상 CRUD·조회·업무 Consumer·Local/Remote·Batch 실행 회귀 금지</x:v>
      </x:c>
      <x:c r="L623" s="12" t="str">
        <x:v>WAS+MariaDB 우선; 미설치 외부 Provider는 Simulator 후 실제 연동 미검증</x:v>
      </x:c>
    </x:row>
    <x:row r="624">
      <x:c r="A624" s="12" t="str">
        <x:v>CPF-QA-D04-ADMRT-088</x:v>
      </x:c>
      <x:c r="B624" s="12" t="str">
        <x:v>ADMRT</x:v>
      </x:c>
      <x:c r="C624" s="12" t="str">
        <x:v>WP16</x:v>
      </x:c>
      <x:c r="D624" s="12" t="str">
        <x:v>재확인 필요</x:v>
      </x:c>
      <x:c r="E624" s="12" t="str">
        <x:v>P0</x:v>
      </x:c>
      <x:c r="F624" s="12" t="str">
        <x:v>인스턴스별 로그 다운로드 — Desired·Delivery·ACK·Actual·Drift</x:v>
      </x:c>
      <x:c r="G624" s="12" t="str">
        <x:v>인스턴스별 로그 다운로드 변경은 DB 저장이나 현재 JVM 메모리 변경으로 끝내지 않는다. Desired Version을 생성하고 대상별 Delivery, ACK, Actual Version/Hash, 적용 시각, 실패 원인을 수집하여 Drift와 Backlog를 조회한다.</x:v>
      </x:c>
      <x:c r="H624" s="12" t="str">
        <x:v>2개 이상 Instance에서 전체/부분 성공·Offline·중복·역전 Delivery를 검증하고 전체 성공 오판이 없어야 한다.</x:v>
      </x:c>
      <x:c r="I624" s="12" t="str">
        <x:v>Owner=cpf-admin / cpf-batch host-agent; Consumer=ADM Download Service·Agent Log API; Scope=System·Domain·Group·Instance·Log Type·Period·Trace/Transaction</x:v>
      </x:c>
      <x:c r="J624" s="12" t="str">
        <x:v>Runtime Control Plane, Approval, Audit, Runtime Registry, Migration</x:v>
      </x:c>
      <x:c r="K624" s="12" t="str">
        <x:v>기존 정상 CRUD·조회·업무 Consumer·Local/Remote·Batch 실행 회귀 금지</x:v>
      </x:c>
      <x:c r="L624" s="12" t="str">
        <x:v>WAS+MariaDB 우선; 미설치 외부 Provider는 Simulator 후 실제 연동 미검증</x:v>
      </x:c>
    </x:row>
    <x:row r="625">
      <x:c r="A625" s="12" t="str">
        <x:v>CPF-QA-D04-ADMRT-089</x:v>
      </x:c>
      <x:c r="B625" s="12" t="str">
        <x:v>ADMRT</x:v>
      </x:c>
      <x:c r="C625" s="12" t="str">
        <x:v>WP16</x:v>
      </x:c>
      <x:c r="D625" s="12" t="str">
        <x:v>재확인 필요</x:v>
      </x:c>
      <x:c r="E625" s="12" t="str">
        <x:v>P0</x:v>
      </x:c>
      <x:c r="F625" s="12" t="str">
        <x:v>인스턴스별 로그 다운로드 — 멱등성·동시성·부분 실패</x:v>
      </x:c>
      <x:c r="G625" s="12" t="str">
        <x:v>인스턴스별 로그 다운로드 변경은 operationId, request hash, expectedVersion/CAS를 사용한다. 동일 요청 재시도는 Side Effect 1회, 동일 operationId의 다른 Payload는 409, 대상 일부 실패는 PARTIAL/UNKNOWN_RESULT로 보존한다.</x:v>
      </x:c>
      <x:c r="H625" s="12" t="str">
        <x:v>응답 유실·Controller 재시작·Agent 재시작·DB Timeout·동시 변경에서 중복 적용과 Lost Update가 없다.</x:v>
      </x:c>
      <x:c r="I625" s="12" t="str">
        <x:v>Owner=cpf-admin / cpf-batch host-agent; Consumer=ADM Download Service·Agent Log API; Scope=System·Domain·Group·Instance·Log Type·Period·Trace/Transaction</x:v>
      </x:c>
      <x:c r="J625" s="12" t="str">
        <x:v>Runtime Control Plane, Approval, Audit, Runtime Registry, Migration</x:v>
      </x:c>
      <x:c r="K625" s="12" t="str">
        <x:v>기존 정상 CRUD·조회·업무 Consumer·Local/Remote·Batch 실행 회귀 금지</x:v>
      </x:c>
      <x:c r="L625" s="12" t="str">
        <x:v>WAS+MariaDB 우선; 미설치 외부 Provider는 Simulator 후 실제 연동 미검증</x:v>
      </x:c>
    </x:row>
    <x:row r="626">
      <x:c r="A626" s="12" t="str">
        <x:v>CPF-QA-D04-ADMRT-090</x:v>
      </x:c>
      <x:c r="B626" s="12" t="str">
        <x:v>ADMRT</x:v>
      </x:c>
      <x:c r="C626" s="12" t="str">
        <x:v>WP16</x:v>
      </x:c>
      <x:c r="D626" s="12" t="str">
        <x:v>재확인 필요</x:v>
      </x:c>
      <x:c r="E626" s="12" t="str">
        <x:v>P0</x:v>
      </x:c>
      <x:c r="F626" s="12" t="str">
        <x:v>인스턴스별 로그 다운로드 — Retry·Cancel·Rollback·Reconcile</x:v>
      </x:c>
      <x:c r="G626" s="12" t="str">
        <x:v>인스턴스별 로그 다운로드는 실패 대상 Retry, 예약 변경 Cancel, Last Good Version Rollback 또는 승인된 Forward Recovery를 제공한다. Offline Instance 재접속과 Process 재기동 시 최신 Snapshot으로 Reconcile하고 Drift를 복구한다.</x:v>
      </x:c>
      <x:c r="H626" s="12" t="str">
        <x:v>Rollback 불가 변경을 성공으로 위장하지 않고, 자동/수동 복구 결과와 대상별 최종 상태를 추적한다.</x:v>
      </x:c>
      <x:c r="I626" s="12" t="str">
        <x:v>Owner=cpf-admin / cpf-batch host-agent; Consumer=ADM Download Service·Agent Log API; Scope=System·Domain·Group·Instance·Log Type·Period·Trace/Transaction</x:v>
      </x:c>
      <x:c r="J626" s="12" t="str">
        <x:v>Runtime Control Plane, Approval, Audit, Runtime Registry, Migration</x:v>
      </x:c>
      <x:c r="K626" s="12" t="str">
        <x:v>기존 정상 CRUD·조회·업무 Consumer·Local/Remote·Batch 실행 회귀 금지</x:v>
      </x:c>
      <x:c r="L626" s="12" t="str">
        <x:v>WAS+MariaDB 우선; 미설치 외부 Provider는 Simulator 후 실제 연동 미검증</x:v>
      </x:c>
    </x:row>
    <x:row r="627">
      <x:c r="A627" s="12" t="str">
        <x:v>CPF-QA-D04-ADMRT-091</x:v>
      </x:c>
      <x:c r="B627" s="12" t="str">
        <x:v>ADMRT</x:v>
      </x:c>
      <x:c r="C627" s="12" t="str">
        <x:v>WP16</x:v>
      </x:c>
      <x:c r="D627" s="12" t="str">
        <x:v>재확인 필요</x:v>
      </x:c>
      <x:c r="E627" s="12" t="str">
        <x:v>P1</x:v>
      </x:c>
      <x:c r="F627" s="12" t="str">
        <x:v>인스턴스별 로그 다운로드 — 보안·감사·Test·Evidence</x:v>
      </x:c>
      <x:c r="G627" s="12" t="str">
        <x:v>인스턴스별 로그 다운로드 조회·변경·복구는 민감정보 마스킹, Tenant/Domain 격리, 위험 조치 감사, 변경 전후 Hash, 결과·실패 기록을 제공한다. Public API/SPI·Consumer·DB·UI·OpenAPI·JavaDoc·EDU·자동 Test·최신 SHA Evidence를 연결한다.</x:v>
      </x:c>
      <x:c r="H627" s="12" t="str">
        <x:v>화면·Interface·YAML·Mock·Static PASS만으로 완료하지 않으며 정상/오류/경계/다중 Instance/재기동 시나리오를 실행한다.</x:v>
      </x:c>
      <x:c r="I627" s="12" t="str">
        <x:v>Owner=cpf-admin / cpf-batch host-agent; Consumer=ADM Download Service·Agent Log API; Scope=System·Domain·Group·Instance·Log Type·Period·Trace/Transaction</x:v>
      </x:c>
      <x:c r="J627" s="12" t="str">
        <x:v>Runtime Control Plane, Approval, Audit, Runtime Registry, Migration</x:v>
      </x:c>
      <x:c r="K627" s="12" t="str">
        <x:v>기존 정상 CRUD·조회·업무 Consumer·Local/Remote·Batch 실행 회귀 금지</x:v>
      </x:c>
      <x:c r="L627" s="12" t="str">
        <x:v>WAS+MariaDB 우선; 미설치 외부 Provider는 Simulator 후 실제 연동 미검증</x:v>
      </x:c>
    </x:row>
    <x:row r="628">
      <x:c r="A628" s="12" t="str">
        <x:v>CPF-QA-D04-ADMRT-092</x:v>
      </x:c>
      <x:c r="B628" s="12" t="str">
        <x:v>ADMRT</x:v>
      </x:c>
      <x:c r="C628" s="12" t="str">
        <x:v>WP16</x:v>
      </x:c>
      <x:c r="D628" s="12" t="str">
        <x:v>재확인 필요</x:v>
      </x:c>
      <x:c r="E628" s="12" t="str">
        <x:v>P1</x:v>
      </x:c>
      <x:c r="F628" s="12" t="str">
        <x:v>관제·알림 — 현재 상태 조회와 정식 관리 객체</x:v>
      </x:c>
      <x:c r="G628" s="12" t="str">
        <x:v>관제·알림는 단순 문자열·화면 표시가 아니라 Owner가 명확한 정식 관리 객체여야 한다. ADM에서 Environment·Domain·Group·Instance·Transaction·Error Group 기준 검색·Paging·상세조회가 가능하고 Rule·Suppression·Silence·Escalation·Email/SMS/Webhook·Retry/DLQ의 현재 값, Version, 갱신 시각, Owner, 상태를 조회한다.</x:v>
      </x:c>
      <x:c r="H628" s="12" t="str">
        <x:v>Source·DB·API·ADM 화면에서 동일 ID/Version을 사용하고 빈 결과·오류·부분 조회를 구분한다.</x:v>
      </x:c>
      <x:c r="I628" s="12" t="str">
        <x:v>Owner=cpf-admin / cpf-core; Consumer=Operational Event·Outbox Worker·Provider Adapter; Scope=Environment·Domain·Group·Instance·Transaction·Error Group</x:v>
      </x:c>
      <x:c r="J628" s="12" t="str">
        <x:v>Runtime Control Plane, Approval, Audit, Runtime Registry, Migration</x:v>
      </x:c>
      <x:c r="K628" s="12" t="str">
        <x:v>기존 정상 CRUD·조회·업무 Consumer·Local/Remote·Batch 실행 회귀 금지</x:v>
      </x:c>
      <x:c r="L628" s="12" t="str">
        <x:v>WAS+MariaDB 우선; 미설치 외부 Provider는 Simulator 후 실제 연동 미검증</x:v>
      </x:c>
    </x:row>
    <x:row r="629">
      <x:c r="A629" s="12" t="str">
        <x:v>CPF-QA-D04-ADMRT-093</x:v>
      </x:c>
      <x:c r="B629" s="12" t="str">
        <x:v>ADMRT</x:v>
      </x:c>
      <x:c r="C629" s="12" t="str">
        <x:v>WP16</x:v>
      </x:c>
      <x:c r="D629" s="12" t="str">
        <x:v>재확인 필요</x:v>
      </x:c>
      <x:c r="E629" s="12" t="str">
        <x:v>P0</x:v>
      </x:c>
      <x:c r="F629" s="12" t="str">
        <x:v>관제·알림 — 대상 선택과 Snapshot</x:v>
      </x:c>
      <x:c r="G629" s="12" t="str">
        <x:v>관제·알림 변경 대상은 Environment·Domain·Group·Instance·Transaction·Error Group로 선택하며 실행 전 고정 Target Snapshot을 생성한다. Dynamic Selector를 사용한 경우 Preview 시점과 승인·실행 시점의 대상 변화를 탐지하고 재승인을 요구한다.</x:v>
      </x:c>
      <x:c r="H629" s="12" t="str">
        <x:v>0건 대상·과다 대상·교차 Tenant/Domain 대상은 차단하고 Snapshot Hash와 대상 수가 Evidence에 남는다.</x:v>
      </x:c>
      <x:c r="I629" s="12" t="str">
        <x:v>Owner=cpf-admin / cpf-core; Consumer=Operational Event·Outbox Worker·Provider Adapter; Scope=Environment·Domain·Group·Instance·Transaction·Error Group</x:v>
      </x:c>
      <x:c r="J629" s="12" t="str">
        <x:v>Runtime Control Plane, Approval, Audit, Runtime Registry, Migration</x:v>
      </x:c>
      <x:c r="K629" s="12" t="str">
        <x:v>기존 정상 CRUD·조회·업무 Consumer·Local/Remote·Batch 실행 회귀 금지</x:v>
      </x:c>
      <x:c r="L629" s="12" t="str">
        <x:v>WAS+MariaDB 우선; 미설치 외부 Provider는 Simulator 후 실제 연동 미검증</x:v>
      </x:c>
    </x:row>
    <x:row r="630">
      <x:c r="A630" s="12" t="str">
        <x:v>CPF-QA-D04-ADMRT-094</x:v>
      </x:c>
      <x:c r="B630" s="12" t="str">
        <x:v>ADMRT</x:v>
      </x:c>
      <x:c r="C630" s="12" t="str">
        <x:v>WP16</x:v>
      </x:c>
      <x:c r="D630" s="12" t="str">
        <x:v>재확인 필요</x:v>
      </x:c>
      <x:c r="E630" s="12" t="str">
        <x:v>P0</x:v>
      </x:c>
      <x:c r="F630" s="12" t="str">
        <x:v>관제·알림 — Preview·권한·사유·승인</x:v>
      </x:c>
      <x:c r="G630" s="12" t="str">
        <x:v>관제·알림 변경은 변경 전/후 값, 영향 Consumer, 재기동 여부, 예상 대상 수, 위험도, Rollback 가능 여부를 Preview한다. 권한·사유·고위험 승인·Break Glass 상한을 적용한다.</x:v>
      </x:c>
      <x:c r="H630" s="12" t="str">
        <x:v>권한 없음·사유 없음·승인 만료·Self Approval·상태 변경 경쟁 조건에서 Fail-Closed 한다.</x:v>
      </x:c>
      <x:c r="I630" s="12" t="str">
        <x:v>Owner=cpf-admin / cpf-core; Consumer=Operational Event·Outbox Worker·Provider Adapter; Scope=Environment·Domain·Group·Instance·Transaction·Error Group</x:v>
      </x:c>
      <x:c r="J630" s="12" t="str">
        <x:v>Runtime Control Plane, Approval, Audit, Runtime Registry, Migration</x:v>
      </x:c>
      <x:c r="K630" s="12" t="str">
        <x:v>기존 정상 CRUD·조회·업무 Consumer·Local/Remote·Batch 실행 회귀 금지</x:v>
      </x:c>
      <x:c r="L630" s="12" t="str">
        <x:v>WAS+MariaDB 우선; 미설치 외부 Provider는 Simulator 후 실제 연동 미검증</x:v>
      </x:c>
    </x:row>
    <x:row r="631">
      <x:c r="A631" s="12" t="str">
        <x:v>CPF-QA-D04-ADMRT-095</x:v>
      </x:c>
      <x:c r="B631" s="12" t="str">
        <x:v>ADMRT</x:v>
      </x:c>
      <x:c r="C631" s="12" t="str">
        <x:v>WP16</x:v>
      </x:c>
      <x:c r="D631" s="12" t="str">
        <x:v>재확인 필요</x:v>
      </x:c>
      <x:c r="E631" s="12" t="str">
        <x:v>P0</x:v>
      </x:c>
      <x:c r="F631" s="12" t="str">
        <x:v>관제·알림 — Desired·Delivery·ACK·Actual·Drift</x:v>
      </x:c>
      <x:c r="G631" s="12" t="str">
        <x:v>관제·알림 변경은 DB 저장이나 현재 JVM 메모리 변경으로 끝내지 않는다. Desired Version을 생성하고 대상별 Delivery, ACK, Actual Version/Hash, 적용 시각, 실패 원인을 수집하여 Drift와 Backlog를 조회한다.</x:v>
      </x:c>
      <x:c r="H631" s="12" t="str">
        <x:v>2개 이상 Instance에서 전체/부분 성공·Offline·중복·역전 Delivery를 검증하고 전체 성공 오판이 없어야 한다.</x:v>
      </x:c>
      <x:c r="I631" s="12" t="str">
        <x:v>Owner=cpf-admin / cpf-core; Consumer=Operational Event·Outbox Worker·Provider Adapter; Scope=Environment·Domain·Group·Instance·Transaction·Error Group</x:v>
      </x:c>
      <x:c r="J631" s="12" t="str">
        <x:v>Runtime Control Plane, Approval, Audit, Runtime Registry, Migration</x:v>
      </x:c>
      <x:c r="K631" s="12" t="str">
        <x:v>기존 정상 CRUD·조회·업무 Consumer·Local/Remote·Batch 실행 회귀 금지</x:v>
      </x:c>
      <x:c r="L631" s="12" t="str">
        <x:v>WAS+MariaDB 우선; 미설치 외부 Provider는 Simulator 후 실제 연동 미검증</x:v>
      </x:c>
    </x:row>
    <x:row r="632">
      <x:c r="A632" s="12" t="str">
        <x:v>CPF-QA-D04-ADMRT-096</x:v>
      </x:c>
      <x:c r="B632" s="12" t="str">
        <x:v>ADMRT</x:v>
      </x:c>
      <x:c r="C632" s="12" t="str">
        <x:v>WP16</x:v>
      </x:c>
      <x:c r="D632" s="12" t="str">
        <x:v>재확인 필요</x:v>
      </x:c>
      <x:c r="E632" s="12" t="str">
        <x:v>P0</x:v>
      </x:c>
      <x:c r="F632" s="12" t="str">
        <x:v>관제·알림 — 멱등성·동시성·부분 실패</x:v>
      </x:c>
      <x:c r="G632" s="12" t="str">
        <x:v>관제·알림 변경은 operationId, request hash, expectedVersion/CAS를 사용한다. 동일 요청 재시도는 Side Effect 1회, 동일 operationId의 다른 Payload는 409, 대상 일부 실패는 PARTIAL/UNKNOWN_RESULT로 보존한다.</x:v>
      </x:c>
      <x:c r="H632" s="12" t="str">
        <x:v>응답 유실·Controller 재시작·Agent 재시작·DB Timeout·동시 변경에서 중복 적용과 Lost Update가 없다.</x:v>
      </x:c>
      <x:c r="I632" s="12" t="str">
        <x:v>Owner=cpf-admin / cpf-core; Consumer=Operational Event·Outbox Worker·Provider Adapter; Scope=Environment·Domain·Group·Instance·Transaction·Error Group</x:v>
      </x:c>
      <x:c r="J632" s="12" t="str">
        <x:v>Runtime Control Plane, Approval, Audit, Runtime Registry, Migration</x:v>
      </x:c>
      <x:c r="K632" s="12" t="str">
        <x:v>기존 정상 CRUD·조회·업무 Consumer·Local/Remote·Batch 실행 회귀 금지</x:v>
      </x:c>
      <x:c r="L632" s="12" t="str">
        <x:v>WAS+MariaDB 우선; 미설치 외부 Provider는 Simulator 후 실제 연동 미검증</x:v>
      </x:c>
    </x:row>
    <x:row r="633">
      <x:c r="A633" s="12" t="str">
        <x:v>CPF-QA-D04-ADMRT-097</x:v>
      </x:c>
      <x:c r="B633" s="12" t="str">
        <x:v>ADMRT</x:v>
      </x:c>
      <x:c r="C633" s="12" t="str">
        <x:v>WP16</x:v>
      </x:c>
      <x:c r="D633" s="12" t="str">
        <x:v>재확인 필요</x:v>
      </x:c>
      <x:c r="E633" s="12" t="str">
        <x:v>P0</x:v>
      </x:c>
      <x:c r="F633" s="12" t="str">
        <x:v>관제·알림 — Retry·Cancel·Rollback·Reconcile</x:v>
      </x:c>
      <x:c r="G633" s="12" t="str">
        <x:v>관제·알림는 실패 대상 Retry, 예약 변경 Cancel, Last Good Version Rollback 또는 승인된 Forward Recovery를 제공한다. Offline Instance 재접속과 Process 재기동 시 최신 Snapshot으로 Reconcile하고 Drift를 복구한다.</x:v>
      </x:c>
      <x:c r="H633" s="12" t="str">
        <x:v>Rollback 불가 변경을 성공으로 위장하지 않고, 자동/수동 복구 결과와 대상별 최종 상태를 추적한다.</x:v>
      </x:c>
      <x:c r="I633" s="12" t="str">
        <x:v>Owner=cpf-admin / cpf-core; Consumer=Operational Event·Outbox Worker·Provider Adapter; Scope=Environment·Domain·Group·Instance·Transaction·Error Group</x:v>
      </x:c>
      <x:c r="J633" s="12" t="str">
        <x:v>Runtime Control Plane, Approval, Audit, Runtime Registry, Migration</x:v>
      </x:c>
      <x:c r="K633" s="12" t="str">
        <x:v>기존 정상 CRUD·조회·업무 Consumer·Local/Remote·Batch 실행 회귀 금지</x:v>
      </x:c>
      <x:c r="L633" s="12" t="str">
        <x:v>WAS+MariaDB 우선; 미설치 외부 Provider는 Simulator 후 실제 연동 미검증</x:v>
      </x:c>
    </x:row>
    <x:row r="634">
      <x:c r="A634" s="12" t="str">
        <x:v>CPF-QA-D04-ADMRT-098</x:v>
      </x:c>
      <x:c r="B634" s="12" t="str">
        <x:v>ADMRT</x:v>
      </x:c>
      <x:c r="C634" s="12" t="str">
        <x:v>WP16</x:v>
      </x:c>
      <x:c r="D634" s="12" t="str">
        <x:v>재확인 필요</x:v>
      </x:c>
      <x:c r="E634" s="12" t="str">
        <x:v>P1</x:v>
      </x:c>
      <x:c r="F634" s="12" t="str">
        <x:v>관제·알림 — 보안·감사·Test·Evidence</x:v>
      </x:c>
      <x:c r="G634" s="12" t="str">
        <x:v>관제·알림 조회·변경·복구는 민감정보 마스킹, Tenant/Domain 격리, 위험 조치 감사, 변경 전후 Hash, 결과·실패 기록을 제공한다. Public API/SPI·Consumer·DB·UI·OpenAPI·JavaDoc·EDU·자동 Test·최신 SHA Evidence를 연결한다.</x:v>
      </x:c>
      <x:c r="H634" s="12" t="str">
        <x:v>화면·Interface·YAML·Mock·Static PASS만으로 완료하지 않으며 정상/오류/경계/다중 Instance/재기동 시나리오를 실행한다.</x:v>
      </x:c>
      <x:c r="I634" s="12" t="str">
        <x:v>Owner=cpf-admin / cpf-core; Consumer=Operational Event·Outbox Worker·Provider Adapter; Scope=Environment·Domain·Group·Instance·Transaction·Error Group</x:v>
      </x:c>
      <x:c r="J634" s="12" t="str">
        <x:v>Runtime Control Plane, Approval, Audit, Runtime Registry, Migration</x:v>
      </x:c>
      <x:c r="K634" s="12" t="str">
        <x:v>기존 정상 CRUD·조회·업무 Consumer·Local/Remote·Batch 실행 회귀 금지</x:v>
      </x:c>
      <x:c r="L634" s="12" t="str">
        <x:v>WAS+MariaDB 우선; 미설치 외부 Provider는 Simulator 후 실제 연동 미검증</x:v>
      </x:c>
    </x:row>
    <x:row r="635">
      <x:c r="A635" s="12" t="str">
        <x:v>CPF-QA-D04-ADMRT-099</x:v>
      </x:c>
      <x:c r="B635" s="12" t="str">
        <x:v>ADMRT</x:v>
      </x:c>
      <x:c r="C635" s="12" t="str">
        <x:v>WP16</x:v>
      </x:c>
      <x:c r="D635" s="12" t="str">
        <x:v>재확인 필요</x:v>
      </x:c>
      <x:c r="E635" s="12" t="str">
        <x:v>P1</x:v>
      </x:c>
      <x:c r="F635" s="12" t="str">
        <x:v>Local 개발 Runtime — 현재 상태 조회와 정식 관리 객체</x:v>
      </x:c>
      <x:c r="G635" s="12" t="str">
        <x:v>Local 개발 Runtime는 단순 문자열·화면 표시가 아니라 Owner가 명확한 정식 관리 객체여야 한다. ADM에서 minimal·standard·full·integration Profile 기준 검색·Paging·상세조회가 가능하고 Web 1 JVM/1 Port·Batch 별도 JVM·Local Facade·Fake/Embedded의 현재 값, Version, 갱신 시각, Owner, 상태를 조회한다.</x:v>
      </x:c>
      <x:c r="H635" s="12" t="str">
        <x:v>Source·DB·API·ADM 화면에서 동일 ID/Version을 사용하고 빈 결과·오류·부분 조회를 구분한다.</x:v>
      </x:c>
      <x:c r="I635" s="12" t="str">
        <x:v>Owner=cpf-local-runtime / cpf-local-batch-runtime; Consumer=ADM/BZA/Gateway/Domain·Batch Runtime; Scope=minimal·standard·full·integration Profile</x:v>
      </x:c>
      <x:c r="J635" s="12" t="str">
        <x:v>Runtime Control Plane, Approval, Audit, Runtime Registry, Migration</x:v>
      </x:c>
      <x:c r="K635" s="12" t="str">
        <x:v>기존 정상 CRUD·조회·업무 Consumer·Local/Remote·Batch 실행 회귀 금지</x:v>
      </x:c>
      <x:c r="L635" s="12" t="str">
        <x:v>WAS+MariaDB 우선; 미설치 외부 Provider는 Simulator 후 실제 연동 미검증</x:v>
      </x:c>
    </x:row>
    <x:row r="636">
      <x:c r="A636" s="12" t="str">
        <x:v>CPF-QA-D04-ADMRT-100</x:v>
      </x:c>
      <x:c r="B636" s="12" t="str">
        <x:v>ADMRT</x:v>
      </x:c>
      <x:c r="C636" s="12" t="str">
        <x:v>WP16</x:v>
      </x:c>
      <x:c r="D636" s="12" t="str">
        <x:v>재확인 필요</x:v>
      </x:c>
      <x:c r="E636" s="12" t="str">
        <x:v>P0</x:v>
      </x:c>
      <x:c r="F636" s="12" t="str">
        <x:v>Local 개발 Runtime — 대상 선택과 Snapshot</x:v>
      </x:c>
      <x:c r="G636" s="12" t="str">
        <x:v>Local 개발 Runtime 변경 대상은 minimal·standard·full·integration Profile로 선택하며 실행 전 고정 Target Snapshot을 생성한다. Dynamic Selector를 사용한 경우 Preview 시점과 승인·실행 시점의 대상 변화를 탐지하고 재승인을 요구한다.</x:v>
      </x:c>
      <x:c r="H636" s="12" t="str">
        <x:v>0건 대상·과다 대상·교차 Tenant/Domain 대상은 차단하고 Snapshot Hash와 대상 수가 Evidence에 남는다.</x:v>
      </x:c>
      <x:c r="I636" s="12" t="str">
        <x:v>Owner=cpf-local-runtime / cpf-local-batch-runtime; Consumer=ADM/BZA/Gateway/Domain·Batch Runtime; Scope=minimal·standard·full·integration Profile</x:v>
      </x:c>
      <x:c r="J636" s="12" t="str">
        <x:v>Runtime Control Plane, Approval, Audit, Runtime Registry, Migration</x:v>
      </x:c>
      <x:c r="K636" s="12" t="str">
        <x:v>기존 정상 CRUD·조회·업무 Consumer·Local/Remote·Batch 실행 회귀 금지</x:v>
      </x:c>
      <x:c r="L636" s="12" t="str">
        <x:v>WAS+MariaDB 우선; 미설치 외부 Provider는 Simulator 후 실제 연동 미검증</x:v>
      </x:c>
    </x:row>
    <x:row r="637">
      <x:c r="A637" s="12" t="str">
        <x:v>CPF-QA-D04-ADMRT-101</x:v>
      </x:c>
      <x:c r="B637" s="12" t="str">
        <x:v>ADMRT</x:v>
      </x:c>
      <x:c r="C637" s="12" t="str">
        <x:v>WP16</x:v>
      </x:c>
      <x:c r="D637" s="12" t="str">
        <x:v>재확인 필요</x:v>
      </x:c>
      <x:c r="E637" s="12" t="str">
        <x:v>P0</x:v>
      </x:c>
      <x:c r="F637" s="12" t="str">
        <x:v>Local 개발 Runtime — Preview·권한·사유·승인</x:v>
      </x:c>
      <x:c r="G637" s="12" t="str">
        <x:v>Local 개발 Runtime 변경은 변경 전/후 값, 영향 Consumer, 재기동 여부, 예상 대상 수, 위험도, Rollback 가능 여부를 Preview한다. 권한·사유·고위험 승인·Break Glass 상한을 적용한다.</x:v>
      </x:c>
      <x:c r="H637" s="12" t="str">
        <x:v>권한 없음·사유 없음·승인 만료·Self Approval·상태 변경 경쟁 조건에서 Fail-Closed 한다.</x:v>
      </x:c>
      <x:c r="I637" s="12" t="str">
        <x:v>Owner=cpf-local-runtime / cpf-local-batch-runtime; Consumer=ADM/BZA/Gateway/Domain·Batch Runtime; Scope=minimal·standard·full·integration Profile</x:v>
      </x:c>
      <x:c r="J637" s="12" t="str">
        <x:v>Runtime Control Plane, Approval, Audit, Runtime Registry, Migration</x:v>
      </x:c>
      <x:c r="K637" s="12" t="str">
        <x:v>기존 정상 CRUD·조회·업무 Consumer·Local/Remote·Batch 실행 회귀 금지</x:v>
      </x:c>
      <x:c r="L637" s="12" t="str">
        <x:v>WAS+MariaDB 우선; 미설치 외부 Provider는 Simulator 후 실제 연동 미검증</x:v>
      </x:c>
    </x:row>
    <x:row r="638">
      <x:c r="A638" s="12" t="str">
        <x:v>CPF-QA-D04-ADMRT-102</x:v>
      </x:c>
      <x:c r="B638" s="12" t="str">
        <x:v>ADMRT</x:v>
      </x:c>
      <x:c r="C638" s="12" t="str">
        <x:v>WP16</x:v>
      </x:c>
      <x:c r="D638" s="12" t="str">
        <x:v>재확인 필요</x:v>
      </x:c>
      <x:c r="E638" s="12" t="str">
        <x:v>P0</x:v>
      </x:c>
      <x:c r="F638" s="12" t="str">
        <x:v>Local 개발 Runtime — Desired·Delivery·ACK·Actual·Drift</x:v>
      </x:c>
      <x:c r="G638" s="12" t="str">
        <x:v>Local 개발 Runtime 변경은 DB 저장이나 현재 JVM 메모리 변경으로 끝내지 않는다. Desired Version을 생성하고 대상별 Delivery, ACK, Actual Version/Hash, 적용 시각, 실패 원인을 수집하여 Drift와 Backlog를 조회한다.</x:v>
      </x:c>
      <x:c r="H638" s="12" t="str">
        <x:v>2개 이상 Instance에서 전체/부분 성공·Offline·중복·역전 Delivery를 검증하고 전체 성공 오판이 없어야 한다.</x:v>
      </x:c>
      <x:c r="I638" s="12" t="str">
        <x:v>Owner=cpf-local-runtime / cpf-local-batch-runtime; Consumer=ADM/BZA/Gateway/Domain·Batch Runtime; Scope=minimal·standard·full·integration Profile</x:v>
      </x:c>
      <x:c r="J638" s="12" t="str">
        <x:v>Runtime Control Plane, Approval, Audit, Runtime Registry, Migration</x:v>
      </x:c>
      <x:c r="K638" s="12" t="str">
        <x:v>기존 정상 CRUD·조회·업무 Consumer·Local/Remote·Batch 실행 회귀 금지</x:v>
      </x:c>
      <x:c r="L638" s="12" t="str">
        <x:v>WAS+MariaDB 우선; 미설치 외부 Provider는 Simulator 후 실제 연동 미검증</x:v>
      </x:c>
    </x:row>
    <x:row r="639">
      <x:c r="A639" s="12" t="str">
        <x:v>CPF-QA-D04-ADMRT-103</x:v>
      </x:c>
      <x:c r="B639" s="12" t="str">
        <x:v>ADMRT</x:v>
      </x:c>
      <x:c r="C639" s="12" t="str">
        <x:v>WP16</x:v>
      </x:c>
      <x:c r="D639" s="12" t="str">
        <x:v>재확인 필요</x:v>
      </x:c>
      <x:c r="E639" s="12" t="str">
        <x:v>P0</x:v>
      </x:c>
      <x:c r="F639" s="12" t="str">
        <x:v>Local 개발 Runtime — 멱등성·동시성·부분 실패</x:v>
      </x:c>
      <x:c r="G639" s="12" t="str">
        <x:v>Local 개발 Runtime 변경은 operationId, request hash, expectedVersion/CAS를 사용한다. 동일 요청 재시도는 Side Effect 1회, 동일 operationId의 다른 Payload는 409, 대상 일부 실패는 PARTIAL/UNKNOWN_RESULT로 보존한다.</x:v>
      </x:c>
      <x:c r="H639" s="12" t="str">
        <x:v>응답 유실·Controller 재시작·Agent 재시작·DB Timeout·동시 변경에서 중복 적용과 Lost Update가 없다.</x:v>
      </x:c>
      <x:c r="I639" s="12" t="str">
        <x:v>Owner=cpf-local-runtime / cpf-local-batch-runtime; Consumer=ADM/BZA/Gateway/Domain·Batch Runtime; Scope=minimal·standard·full·integration Profile</x:v>
      </x:c>
      <x:c r="J639" s="12" t="str">
        <x:v>Runtime Control Plane, Approval, Audit, Runtime Registry, Migration</x:v>
      </x:c>
      <x:c r="K639" s="12" t="str">
        <x:v>기존 정상 CRUD·조회·업무 Consumer·Local/Remote·Batch 실행 회귀 금지</x:v>
      </x:c>
      <x:c r="L639" s="12" t="str">
        <x:v>WAS+MariaDB 우선; 미설치 외부 Provider는 Simulator 후 실제 연동 미검증</x:v>
      </x:c>
    </x:row>
    <x:row r="640">
      <x:c r="A640" s="12" t="str">
        <x:v>CPF-QA-D04-ADMRT-104</x:v>
      </x:c>
      <x:c r="B640" s="12" t="str">
        <x:v>ADMRT</x:v>
      </x:c>
      <x:c r="C640" s="12" t="str">
        <x:v>WP16</x:v>
      </x:c>
      <x:c r="D640" s="12" t="str">
        <x:v>재확인 필요</x:v>
      </x:c>
      <x:c r="E640" s="12" t="str">
        <x:v>P0</x:v>
      </x:c>
      <x:c r="F640" s="12" t="str">
        <x:v>Local 개발 Runtime — Retry·Cancel·Rollback·Reconcile</x:v>
      </x:c>
      <x:c r="G640" s="12" t="str">
        <x:v>Local 개발 Runtime는 실패 대상 Retry, 예약 변경 Cancel, Last Good Version Rollback 또는 승인된 Forward Recovery를 제공한다. Offline Instance 재접속과 Process 재기동 시 최신 Snapshot으로 Reconcile하고 Drift를 복구한다.</x:v>
      </x:c>
      <x:c r="H640" s="12" t="str">
        <x:v>Rollback 불가 변경을 성공으로 위장하지 않고, 자동/수동 복구 결과와 대상별 최종 상태를 추적한다.</x:v>
      </x:c>
      <x:c r="I640" s="12" t="str">
        <x:v>Owner=cpf-local-runtime / cpf-local-batch-runtime; Consumer=ADM/BZA/Gateway/Domain·Batch Runtime; Scope=minimal·standard·full·integration Profile</x:v>
      </x:c>
      <x:c r="J640" s="12" t="str">
        <x:v>Runtime Control Plane, Approval, Audit, Runtime Registry, Migration</x:v>
      </x:c>
      <x:c r="K640" s="12" t="str">
        <x:v>기존 정상 CRUD·조회·업무 Consumer·Local/Remote·Batch 실행 회귀 금지</x:v>
      </x:c>
      <x:c r="L640" s="12" t="str">
        <x:v>WAS+MariaDB 우선; 미설치 외부 Provider는 Simulator 후 실제 연동 미검증</x:v>
      </x:c>
    </x:row>
    <x:row r="641">
      <x:c r="A641" s="12" t="str">
        <x:v>CPF-QA-D04-ADMRT-105</x:v>
      </x:c>
      <x:c r="B641" s="12" t="str">
        <x:v>ADMRT</x:v>
      </x:c>
      <x:c r="C641" s="12" t="str">
        <x:v>WP16</x:v>
      </x:c>
      <x:c r="D641" s="12" t="str">
        <x:v>재확인 필요</x:v>
      </x:c>
      <x:c r="E641" s="12" t="str">
        <x:v>P1</x:v>
      </x:c>
      <x:c r="F641" s="12" t="str">
        <x:v>Local 개발 Runtime — 보안·감사·Test·Evidence</x:v>
      </x:c>
      <x:c r="G641" s="12" t="str">
        <x:v>Local 개발 Runtime 조회·변경·복구는 민감정보 마스킹, Tenant/Domain 격리, 위험 조치 감사, 변경 전후 Hash, 결과·실패 기록을 제공한다. Public API/SPI·Consumer·DB·UI·OpenAPI·JavaDoc·EDU·자동 Test·최신 SHA Evidence를 연결한다.</x:v>
      </x:c>
      <x:c r="H641" s="12" t="str">
        <x:v>화면·Interface·YAML·Mock·Static PASS만으로 완료하지 않으며 정상/오류/경계/다중 Instance/재기동 시나리오를 실행한다.</x:v>
      </x:c>
      <x:c r="I641" s="12" t="str">
        <x:v>Owner=cpf-local-runtime / cpf-local-batch-runtime; Consumer=ADM/BZA/Gateway/Domain·Batch Runtime; Scope=minimal·standard·full·integration Profile</x:v>
      </x:c>
      <x:c r="J641" s="12" t="str">
        <x:v>Runtime Control Plane, Approval, Audit, Runtime Registry, Migration</x:v>
      </x:c>
      <x:c r="K641" s="12" t="str">
        <x:v>기존 정상 CRUD·조회·업무 Consumer·Local/Remote·Batch 실행 회귀 금지</x:v>
      </x:c>
      <x:c r="L641" s="12" t="str">
        <x:v>WAS+MariaDB 우선; 미설치 외부 Provider는 Simulator 후 실제 연동 미검증</x:v>
      </x:c>
    </x:row>
    <x:row r="642">
      <x:c r="A642" s="12" t="str">
        <x:v>CPF-QA-D04-ADMRT-106</x:v>
      </x:c>
      <x:c r="B642" s="12" t="str">
        <x:v>ADMRT</x:v>
      </x:c>
      <x:c r="C642" s="12" t="str">
        <x:v>WP16</x:v>
      </x:c>
      <x:c r="D642" s="12" t="str">
        <x:v>재확인 필요</x:v>
      </x:c>
      <x:c r="E642" s="12" t="str">
        <x:v>P1</x:v>
      </x:c>
      <x:c r="F642" s="12" t="str">
        <x:v>EDU·Reference 예제 그룹 — 현재 상태 조회와 정식 관리 객체</x:v>
      </x:c>
      <x:c r="G642" s="12" t="str">
        <x:v>EDU·Reference 예제 그룹는 단순 문자열·화면 표시가 아니라 Owner가 명확한 정식 관리 객체여야 한다. ADM에서 기능그룹·오류유형·Topology·Provider 기준 검색·Paging·상세조회가 가능하고 실제 Public API/SPI·정상/오류/복구·ADM·Test·Evidence의 현재 값, Version, 갱신 시각, Owner, 상태를 조회한다.</x:v>
      </x:c>
      <x:c r="H642" s="12" t="str">
        <x:v>Source·DB·API·ADM 화면에서 동일 ID/Version을 사용하고 빈 결과·오류·부분 조회를 구분한다.</x:v>
      </x:c>
      <x:c r="I642" s="12" t="str">
        <x:v>Owner=cpf-reference / cpf-tools / generated domain; Consumer=개발자·운영자·Generator Consumer; Scope=기능그룹·오류유형·Topology·Provider</x:v>
      </x:c>
      <x:c r="J642" s="12" t="str">
        <x:v>Runtime Control Plane, Approval, Audit, Runtime Registry, Migration</x:v>
      </x:c>
      <x:c r="K642" s="12" t="str">
        <x:v>기존 정상 CRUD·조회·업무 Consumer·Local/Remote·Batch 실행 회귀 금지</x:v>
      </x:c>
      <x:c r="L642" s="12" t="str">
        <x:v>WAS+MariaDB 우선; 미설치 외부 Provider는 Simulator 후 실제 연동 미검증</x:v>
      </x:c>
    </x:row>
    <x:row r="643">
      <x:c r="A643" s="12" t="str">
        <x:v>CPF-QA-D04-ADMRT-107</x:v>
      </x:c>
      <x:c r="B643" s="12" t="str">
        <x:v>ADMRT</x:v>
      </x:c>
      <x:c r="C643" s="12" t="str">
        <x:v>WP16</x:v>
      </x:c>
      <x:c r="D643" s="12" t="str">
        <x:v>재확인 필요</x:v>
      </x:c>
      <x:c r="E643" s="12" t="str">
        <x:v>P0</x:v>
      </x:c>
      <x:c r="F643" s="12" t="str">
        <x:v>EDU·Reference 예제 그룹 — 대상 선택과 Snapshot</x:v>
      </x:c>
      <x:c r="G643" s="12" t="str">
        <x:v>EDU·Reference 예제 그룹 변경 대상은 기능그룹·오류유형·Topology·Provider로 선택하며 실행 전 고정 Target Snapshot을 생성한다. Dynamic Selector를 사용한 경우 Preview 시점과 승인·실행 시점의 대상 변화를 탐지하고 재승인을 요구한다.</x:v>
      </x:c>
      <x:c r="H643" s="12" t="str">
        <x:v>0건 대상·과다 대상·교차 Tenant/Domain 대상은 차단하고 Snapshot Hash와 대상 수가 Evidence에 남는다.</x:v>
      </x:c>
      <x:c r="I643" s="12" t="str">
        <x:v>Owner=cpf-reference / cpf-tools / generated domain; Consumer=개발자·운영자·Generator Consumer; Scope=기능그룹·오류유형·Topology·Provider</x:v>
      </x:c>
      <x:c r="J643" s="12" t="str">
        <x:v>Runtime Control Plane, Approval, Audit, Runtime Registry, Migration</x:v>
      </x:c>
      <x:c r="K643" s="12" t="str">
        <x:v>기존 정상 CRUD·조회·업무 Consumer·Local/Remote·Batch 실행 회귀 금지</x:v>
      </x:c>
      <x:c r="L643" s="12" t="str">
        <x:v>WAS+MariaDB 우선; 미설치 외부 Provider는 Simulator 후 실제 연동 미검증</x:v>
      </x:c>
    </x:row>
    <x:row r="644">
      <x:c r="A644" s="12" t="str">
        <x:v>CPF-QA-D04-ADMRT-108</x:v>
      </x:c>
      <x:c r="B644" s="12" t="str">
        <x:v>ADMRT</x:v>
      </x:c>
      <x:c r="C644" s="12" t="str">
        <x:v>WP16</x:v>
      </x:c>
      <x:c r="D644" s="12" t="str">
        <x:v>재확인 필요</x:v>
      </x:c>
      <x:c r="E644" s="12" t="str">
        <x:v>P0</x:v>
      </x:c>
      <x:c r="F644" s="12" t="str">
        <x:v>EDU·Reference 예제 그룹 — Preview·권한·사유·승인</x:v>
      </x:c>
      <x:c r="G644" s="12" t="str">
        <x:v>EDU·Reference 예제 그룹 변경은 변경 전/후 값, 영향 Consumer, 재기동 여부, 예상 대상 수, 위험도, Rollback 가능 여부를 Preview한다. 권한·사유·고위험 승인·Break Glass 상한을 적용한다.</x:v>
      </x:c>
      <x:c r="H644" s="12" t="str">
        <x:v>권한 없음·사유 없음·승인 만료·Self Approval·상태 변경 경쟁 조건에서 Fail-Closed 한다.</x:v>
      </x:c>
      <x:c r="I644" s="12" t="str">
        <x:v>Owner=cpf-reference / cpf-tools / generated domain; Consumer=개발자·운영자·Generator Consumer; Scope=기능그룹·오류유형·Topology·Provider</x:v>
      </x:c>
      <x:c r="J644" s="12" t="str">
        <x:v>Runtime Control Plane, Approval, Audit, Runtime Registry, Migration</x:v>
      </x:c>
      <x:c r="K644" s="12" t="str">
        <x:v>기존 정상 CRUD·조회·업무 Consumer·Local/Remote·Batch 실행 회귀 금지</x:v>
      </x:c>
      <x:c r="L644" s="12" t="str">
        <x:v>WAS+MariaDB 우선; 미설치 외부 Provider는 Simulator 후 실제 연동 미검증</x:v>
      </x:c>
    </x:row>
    <x:row r="645">
      <x:c r="A645" s="12" t="str">
        <x:v>CPF-QA-D04-ADMRT-109</x:v>
      </x:c>
      <x:c r="B645" s="12" t="str">
        <x:v>ADMRT</x:v>
      </x:c>
      <x:c r="C645" s="12" t="str">
        <x:v>WP16</x:v>
      </x:c>
      <x:c r="D645" s="12" t="str">
        <x:v>재확인 필요</x:v>
      </x:c>
      <x:c r="E645" s="12" t="str">
        <x:v>P0</x:v>
      </x:c>
      <x:c r="F645" s="12" t="str">
        <x:v>EDU·Reference 예제 그룹 — Desired·Delivery·ACK·Actual·Drift</x:v>
      </x:c>
      <x:c r="G645" s="12" t="str">
        <x:v>EDU·Reference 예제 그룹 변경은 DB 저장이나 현재 JVM 메모리 변경으로 끝내지 않는다. Desired Version을 생성하고 대상별 Delivery, ACK, Actual Version/Hash, 적용 시각, 실패 원인을 수집하여 Drift와 Backlog를 조회한다.</x:v>
      </x:c>
      <x:c r="H645" s="12" t="str">
        <x:v>2개 이상 Instance에서 전체/부분 성공·Offline·중복·역전 Delivery를 검증하고 전체 성공 오판이 없어야 한다.</x:v>
      </x:c>
      <x:c r="I645" s="12" t="str">
        <x:v>Owner=cpf-reference / cpf-tools / generated domain; Consumer=개발자·운영자·Generator Consumer; Scope=기능그룹·오류유형·Topology·Provider</x:v>
      </x:c>
      <x:c r="J645" s="12" t="str">
        <x:v>Runtime Control Plane, Approval, Audit, Runtime Registry, Migration</x:v>
      </x:c>
      <x:c r="K645" s="12" t="str">
        <x:v>기존 정상 CRUD·조회·업무 Consumer·Local/Remote·Batch 실행 회귀 금지</x:v>
      </x:c>
      <x:c r="L645" s="12" t="str">
        <x:v>WAS+MariaDB 우선; 미설치 외부 Provider는 Simulator 후 실제 연동 미검증</x:v>
      </x:c>
    </x:row>
    <x:row r="646">
      <x:c r="A646" s="12" t="str">
        <x:v>CPF-QA-D04-ADMRT-110</x:v>
      </x:c>
      <x:c r="B646" s="12" t="str">
        <x:v>ADMRT</x:v>
      </x:c>
      <x:c r="C646" s="12" t="str">
        <x:v>WP16</x:v>
      </x:c>
      <x:c r="D646" s="12" t="str">
        <x:v>재확인 필요</x:v>
      </x:c>
      <x:c r="E646" s="12" t="str">
        <x:v>P0</x:v>
      </x:c>
      <x:c r="F646" s="12" t="str">
        <x:v>EDU·Reference 예제 그룹 — 멱등성·동시성·부분 실패</x:v>
      </x:c>
      <x:c r="G646" s="12" t="str">
        <x:v>EDU·Reference 예제 그룹 변경은 operationId, request hash, expectedVersion/CAS를 사용한다. 동일 요청 재시도는 Side Effect 1회, 동일 operationId의 다른 Payload는 409, 대상 일부 실패는 PARTIAL/UNKNOWN_RESULT로 보존한다.</x:v>
      </x:c>
      <x:c r="H646" s="12" t="str">
        <x:v>응답 유실·Controller 재시작·Agent 재시작·DB Timeout·동시 변경에서 중복 적용과 Lost Update가 없다.</x:v>
      </x:c>
      <x:c r="I646" s="12" t="str">
        <x:v>Owner=cpf-reference / cpf-tools / generated domain; Consumer=개발자·운영자·Generator Consumer; Scope=기능그룹·오류유형·Topology·Provider</x:v>
      </x:c>
      <x:c r="J646" s="12" t="str">
        <x:v>Runtime Control Plane, Approval, Audit, Runtime Registry, Migration</x:v>
      </x:c>
      <x:c r="K646" s="12" t="str">
        <x:v>기존 정상 CRUD·조회·업무 Consumer·Local/Remote·Batch 실행 회귀 금지</x:v>
      </x:c>
      <x:c r="L646" s="12" t="str">
        <x:v>WAS+MariaDB 우선; 미설치 외부 Provider는 Simulator 후 실제 연동 미검증</x:v>
      </x:c>
    </x:row>
    <x:row r="647">
      <x:c r="A647" s="12" t="str">
        <x:v>CPF-QA-D04-ADMRT-111</x:v>
      </x:c>
      <x:c r="B647" s="12" t="str">
        <x:v>ADMRT</x:v>
      </x:c>
      <x:c r="C647" s="12" t="str">
        <x:v>WP16</x:v>
      </x:c>
      <x:c r="D647" s="12" t="str">
        <x:v>재확인 필요</x:v>
      </x:c>
      <x:c r="E647" s="12" t="str">
        <x:v>P0</x:v>
      </x:c>
      <x:c r="F647" s="12" t="str">
        <x:v>EDU·Reference 예제 그룹 — Retry·Cancel·Rollback·Reconcile</x:v>
      </x:c>
      <x:c r="G647" s="12" t="str">
        <x:v>EDU·Reference 예제 그룹는 실패 대상 Retry, 예약 변경 Cancel, Last Good Version Rollback 또는 승인된 Forward Recovery를 제공한다. Offline Instance 재접속과 Process 재기동 시 최신 Snapshot으로 Reconcile하고 Drift를 복구한다.</x:v>
      </x:c>
      <x:c r="H647" s="12" t="str">
        <x:v>Rollback 불가 변경을 성공으로 위장하지 않고, 자동/수동 복구 결과와 대상별 최종 상태를 추적한다.</x:v>
      </x:c>
      <x:c r="I647" s="12" t="str">
        <x:v>Owner=cpf-reference / cpf-tools / generated domain; Consumer=개발자·운영자·Generator Consumer; Scope=기능그룹·오류유형·Topology·Provider</x:v>
      </x:c>
      <x:c r="J647" s="12" t="str">
        <x:v>Runtime Control Plane, Approval, Audit, Runtime Registry, Migration</x:v>
      </x:c>
      <x:c r="K647" s="12" t="str">
        <x:v>기존 정상 CRUD·조회·업무 Consumer·Local/Remote·Batch 실행 회귀 금지</x:v>
      </x:c>
      <x:c r="L647" s="12" t="str">
        <x:v>WAS+MariaDB 우선; 미설치 외부 Provider는 Simulator 후 실제 연동 미검증</x:v>
      </x:c>
    </x:row>
    <x:row r="648">
      <x:c r="A648" s="12" t="str">
        <x:v>CPF-QA-D04-ADMRT-112</x:v>
      </x:c>
      <x:c r="B648" s="12" t="str">
        <x:v>ADMRT</x:v>
      </x:c>
      <x:c r="C648" s="12" t="str">
        <x:v>WP16</x:v>
      </x:c>
      <x:c r="D648" s="12" t="str">
        <x:v>재확인 필요</x:v>
      </x:c>
      <x:c r="E648" s="12" t="str">
        <x:v>P1</x:v>
      </x:c>
      <x:c r="F648" s="12" t="str">
        <x:v>EDU·Reference 예제 그룹 — 보안·감사·Test·Evidence</x:v>
      </x:c>
      <x:c r="G648" s="12" t="str">
        <x:v>EDU·Reference 예제 그룹 조회·변경·복구는 민감정보 마스킹, Tenant/Domain 격리, 위험 조치 감사, 변경 전후 Hash, 결과·실패 기록을 제공한다. Public API/SPI·Consumer·DB·UI·OpenAPI·JavaDoc·EDU·자동 Test·최신 SHA Evidence를 연결한다.</x:v>
      </x:c>
      <x:c r="H648" s="12" t="str">
        <x:v>화면·Interface·YAML·Mock·Static PASS만으로 완료하지 않으며 정상/오류/경계/다중 Instance/재기동 시나리오를 실행한다.</x:v>
      </x:c>
      <x:c r="I648" s="12" t="str">
        <x:v>Owner=cpf-reference / cpf-tools / generated domain; Consumer=개발자·운영자·Generator Consumer; Scope=기능그룹·오류유형·Topology·Provider</x:v>
      </x:c>
      <x:c r="J648" s="12" t="str">
        <x:v>Runtime Control Plane, Approval, Audit, Runtime Registry, Migration</x:v>
      </x:c>
      <x:c r="K648" s="12" t="str">
        <x:v>기존 정상 CRUD·조회·업무 Consumer·Local/Remote·Batch 실행 회귀 금지</x:v>
      </x:c>
      <x:c r="L648" s="12" t="str">
        <x:v>WAS+MariaDB 우선; 미설치 외부 Provider는 Simulator 후 실제 연동 미검증</x:v>
      </x:c>
    </x:row>
    <x:row r="649">
      <x:c r="A649" s="12" t="str">
        <x:v>CPF-QA-D04-ADMRT-113</x:v>
      </x:c>
      <x:c r="B649" s="12" t="str">
        <x:v>ADMRT</x:v>
      </x:c>
      <x:c r="C649" s="12" t="str">
        <x:v>WP16</x:v>
      </x:c>
      <x:c r="D649" s="12" t="str">
        <x:v>재확인 필요</x:v>
      </x:c>
      <x:c r="E649" s="12" t="str">
        <x:v>P0</x:v>
      </x:c>
      <x:c r="F649" s="12" t="str">
        <x:v>ADM 실시간 제어 공통 상태 모델</x:v>
      </x:c>
      <x:c r="G649" s="12" t="str">
        <x:v>모든 기능은 DRAFT/PREVIEWED/PENDING_APPROVAL/APPROVED/DELIVERING/PARTIAL/APPLIED/FAILED/UNKNOWN_RESULT/CANCELLED/ROLLBACK_PENDING/ROLLED_BACK/EXPIRED 상태와 허용 전이를 공유하되 기능별 확장 상태를 명시한다.</x:v>
      </x:c>
      <x:c r="H649" s="12" t="str">
        <x:v>불법 상태 전이와 최종 상태 재변경을 차단하고 상태 전이 Matrix Test를 제공한다.</x:v>
      </x:c>
      <x:c r="I649" s="12" t="str">
        <x:v>대화 후속 확정 요구</x:v>
      </x:c>
      <x:c r="J649" s="12" t="str">
        <x:v>기존 20260728_03 QA 전체</x:v>
      </x:c>
      <x:c r="K649" s="12" t="str">
        <x:v>기존 1,214 QA 및 201 Scenario 연속 추적</x:v>
      </x:c>
      <x:c r="L649" s="12" t="str">
        <x:v>Codex/CI/WAS/MariaDB 및 Provider별 환경 분리</x:v>
      </x:c>
    </x:row>
    <x:row r="650">
      <x:c r="A650" s="12" t="str">
        <x:v>CPF-QA-D04-ADMRT-114</x:v>
      </x:c>
      <x:c r="B650" s="12" t="str">
        <x:v>ADMRT</x:v>
      </x:c>
      <x:c r="C650" s="12" t="str">
        <x:v>WP16</x:v>
      </x:c>
      <x:c r="D650" s="12" t="str">
        <x:v>재확인 필요</x:v>
      </x:c>
      <x:c r="E650" s="12" t="str">
        <x:v>P0</x:v>
      </x:c>
      <x:c r="F650" s="12" t="str">
        <x:v>운영 조치와 원 업무 Transaction 분리</x:v>
      </x:c>
      <x:c r="G650" s="12" t="str">
        <x:v>ADM 제어·감사·알림 실패가 원 업무 거래를 Rollback하거나 지연시키지 않도록 Outbox/별도 Transaction 경계를 사용한다. 반대로 감사 필수 위험 조치는 감사 저장 실패 시 실행을 차단한다.</x:v>
      </x:c>
      <x:c r="H650" s="12" t="str">
        <x:v>DB 장애·감사 장애·Notification 장애에서 업무와 운영 조치별 기대 결과를 Fault Test로 검증한다.</x:v>
      </x:c>
      <x:c r="I650" s="12" t="str">
        <x:v>대화 후속 확정 요구</x:v>
      </x:c>
      <x:c r="J650" s="12" t="str">
        <x:v>기존 20260728_03 QA 전체</x:v>
      </x:c>
      <x:c r="K650" s="12" t="str">
        <x:v>기존 1,214 QA 및 201 Scenario 연속 추적</x:v>
      </x:c>
      <x:c r="L650" s="12" t="str">
        <x:v>Codex/CI/WAS/MariaDB 및 Provider별 환경 분리</x:v>
      </x:c>
    </x:row>
    <x:row r="651">
      <x:c r="A651" s="12" t="str">
        <x:v>CPF-QA-D04-ADMRT-115</x:v>
      </x:c>
      <x:c r="B651" s="12" t="str">
        <x:v>ADMRT</x:v>
      </x:c>
      <x:c r="C651" s="12" t="str">
        <x:v>WP16</x:v>
      </x:c>
      <x:c r="D651" s="12" t="str">
        <x:v>미검증</x:v>
      </x:c>
      <x:c r="E651" s="12" t="str">
        <x:v>P0</x:v>
      </x:c>
      <x:c r="F651" s="12" t="str">
        <x:v>Java 25 검증 상태 분리</x:v>
      </x:c>
      <x:c r="G651" s="12" t="str">
        <x:v>Java 25/Gradle 9.1 전체 Build 미실행은 기능 미구현이 아니라 미검증으로 기록한다. 실행 실패 후 Source·Dependency·Toolchain 결함이 확인된 경우에만 해당 Requirement를 실패/부분 구현으로 재판정한다.</x:v>
      </x:c>
      <x:c r="H651" s="12" t="str">
        <x:v>Codex가 최신 SHA에서 clean test assemble qualityGate를 실행하고 명령·환경·로그·결과를 Evidence로 남긴다.</x:v>
      </x:c>
      <x:c r="I651" s="12" t="str">
        <x:v>대화 후속 확정 요구</x:v>
      </x:c>
      <x:c r="J651" s="12" t="str">
        <x:v>기존 20260728_03 QA 전체</x:v>
      </x:c>
      <x:c r="K651" s="12" t="str">
        <x:v>기존 1,214 QA 및 201 Scenario 연속 추적</x:v>
      </x:c>
      <x:c r="L651" s="12" t="str">
        <x:v>Codex/CI/WAS/MariaDB 및 Provider별 환경 분리</x:v>
      </x:c>
    </x:row>
    <x:row r="652">
      <x:c r="A652" s="12" t="str">
        <x:v>CPF-QA-D04-ADMRT-116</x:v>
      </x:c>
      <x:c r="B652" s="12" t="str">
        <x:v>ADMRT</x:v>
      </x:c>
      <x:c r="C652" s="12" t="str">
        <x:v>WP16</x:v>
      </x:c>
      <x:c r="D652" s="12" t="str">
        <x:v>재확인 필요</x:v>
      </x:c>
      <x:c r="E652" s="12" t="str">
        <x:v>P0</x:v>
      </x:c>
      <x:c r="F652" s="12" t="str">
        <x:v>Codex 검수 후 다음 QA 생성</x:v>
      </x:c>
      <x:c r="G652" s="12" t="str">
        <x:v>현재 개발 작업과 Push가 끝난 뒤 Codex가 최신 master를 독립 검수·수리한다. 다음 QA 목록은 Codex의 실제 실행 결과와 수정 Push를 다시 검수한 후 생성하며 미리 실패 건수를 확정하지 않는다.</x:v>
      </x:c>
      <x:c r="H652" s="12" t="str">
        <x:v>Codex 기준 SHA·실행 결과·수리 Commit·남은 미검증이 다음 QA 항목과 양방향 연결된다.</x:v>
      </x:c>
      <x:c r="I652" s="12" t="str">
        <x:v>대화 후속 확정 요구</x:v>
      </x:c>
      <x:c r="J652" s="12" t="str">
        <x:v>기존 20260728_03 QA 전체</x:v>
      </x:c>
      <x:c r="K652" s="12" t="str">
        <x:v>기존 1,214 QA 및 201 Scenario 연속 추적</x:v>
      </x:c>
      <x:c r="L652" s="12" t="str">
        <x:v>Codex/CI/WAS/MariaDB 및 Provider별 환경 분리</x:v>
      </x:c>
    </x:row>
    <x:row r="653">
      <x:c r="A653" s="12" t="str">
        <x:v>CPF-QA-D04-ADMRT-117</x:v>
      </x:c>
      <x:c r="B653" s="12" t="str">
        <x:v>ADMRT</x:v>
      </x:c>
      <x:c r="C653" s="12" t="str">
        <x:v>WP16</x:v>
      </x:c>
      <x:c r="D653" s="12" t="str">
        <x:v>재확인 필요</x:v>
      </x:c>
      <x:c r="E653" s="12" t="str">
        <x:v>P0</x:v>
      </x:c>
      <x:c r="F653" s="12" t="str">
        <x:v>완료 판정 전 체인 강제</x:v>
      </x:c>
      <x:c r="G653" s="12" t="str">
        <x:v>Requirement→Public API/SPI→기본 구현→실제 Consumer→DB/Migration→API/UI→정상/오류/경계→다중 Instance→재기동/부분 실패→복구→보안/감사→Test/Guide/Evidence 체인이 모두 연결되어야 완료다.</x:v>
      </x:c>
      <x:c r="H653" s="12" t="str">
        <x:v>체인 필드가 하나라도 비면 완료 상태를 Gate가 거부한다.</x:v>
      </x:c>
      <x:c r="I653" s="12" t="str">
        <x:v>대화 후속 확정 요구</x:v>
      </x:c>
      <x:c r="J653" s="12" t="str">
        <x:v>기존 20260728_03 QA 전체</x:v>
      </x:c>
      <x:c r="K653" s="12" t="str">
        <x:v>기존 1,214 QA 및 201 Scenario 연속 추적</x:v>
      </x:c>
      <x:c r="L653" s="12" t="str">
        <x:v>Codex/CI/WAS/MariaDB 및 Provider별 환경 분리</x:v>
      </x:c>
    </x:row>
    <x:row r="654">
      <x:c r="A654" s="12" t="str">
        <x:v>CPF-QA-D04-ADMRT-118</x:v>
      </x:c>
      <x:c r="B654" s="12" t="str">
        <x:v>ADMRT</x:v>
      </x:c>
      <x:c r="C654" s="12" t="str">
        <x:v>WP16</x:v>
      </x:c>
      <x:c r="D654" s="12" t="str">
        <x:v>재확인 필요</x:v>
      </x:c>
      <x:c r="E654" s="12" t="str">
        <x:v>P1</x:v>
      </x:c>
      <x:c r="F654" s="12" t="str">
        <x:v>Root Cause 작업 묶음 관리</x:v>
      </x:c>
      <x:c r="G654" s="12" t="str">
        <x:v>세부 QA 항목은 검증 추적 단위이며 실제 개발은 Owner·Consumer·실패 모드가 같은 Root Cause Change Set으로 묶는다. 이름만 바꾼 중복은 병합하고 서로 다른 복구·보안 영향은 분리한다.</x:v>
      </x:c>
      <x:c r="H654" s="12" t="str">
        <x:v>Inventory에 rootCauseId/workPackage Mapping을 생성하고 중복·고아 항목을 Gate로 탐지한다.</x:v>
      </x:c>
      <x:c r="I654" s="12" t="str">
        <x:v>대화 후속 확정 요구</x:v>
      </x:c>
      <x:c r="J654" s="12" t="str">
        <x:v>기존 20260728_03 QA 전체</x:v>
      </x:c>
      <x:c r="K654" s="12" t="str">
        <x:v>기존 1,214 QA 및 201 Scenario 연속 추적</x:v>
      </x:c>
      <x:c r="L654" s="12" t="str">
        <x:v>Codex/CI/WAS/MariaDB 및 Provider별 환경 분리</x:v>
      </x:c>
    </x:row>
    <x:row r="655">
      <x:c r="A655" s="12" t="str">
        <x:v>CPF-QA-D04-ADMRT-119</x:v>
      </x:c>
      <x:c r="B655" s="12" t="str">
        <x:v>ADMRT</x:v>
      </x:c>
      <x:c r="C655" s="12" t="str">
        <x:v>WP16</x:v>
      </x:c>
      <x:c r="D655" s="12" t="str">
        <x:v>재확인 필요</x:v>
      </x:c>
      <x:c r="E655" s="12" t="str">
        <x:v>P0</x:v>
      </x:c>
      <x:c r="F655" s="12" t="str">
        <x:v>Local/Remote 계약 Parity</x:v>
      </x:c>
      <x:c r="G655" s="12" t="str">
        <x:v>동일 업무 기능은 동일 JVM Local Facade와 분리 WAS Remote Facade에서 Request/Response/Header/Error/Trace/Idempotency 계약이 같아야 하며 Consumer 코드는 Topology 전환으로 수정되지 않는다.</x:v>
      </x:c>
      <x:c r="H655" s="12" t="str">
        <x:v>Local/Remote E2E 결과와 Contract Snapshot을 비교하고 HTTP Loopback·내부 Gateway 재경유를 탐지한다.</x:v>
      </x:c>
      <x:c r="I655" s="12" t="str">
        <x:v>대화 후속 확정 요구</x:v>
      </x:c>
      <x:c r="J655" s="12" t="str">
        <x:v>기존 20260728_03 QA 전체</x:v>
      </x:c>
      <x:c r="K655" s="12" t="str">
        <x:v>기존 1,214 QA 및 201 Scenario 연속 추적</x:v>
      </x:c>
      <x:c r="L655" s="12" t="str">
        <x:v>Codex/CI/WAS/MariaDB 및 Provider별 환경 분리</x:v>
      </x:c>
    </x:row>
    <x:row r="656">
      <x:c r="A656" s="12" t="str">
        <x:v>CPF-QA-D04-ADMRT-120</x:v>
      </x:c>
      <x:c r="B656" s="12" t="str">
        <x:v>ADMRT</x:v>
      </x:c>
      <x:c r="C656" s="12" t="str">
        <x:v>WP16</x:v>
      </x:c>
      <x:c r="D656" s="12" t="str">
        <x:v>재확인 필요</x:v>
      </x:c>
      <x:c r="E656" s="12" t="str">
        <x:v>P0</x:v>
      </x:c>
      <x:c r="F656" s="12" t="str">
        <x:v>외부 Provider 완료 판정 정책</x:v>
      </x:c>
      <x:c r="G656" s="12" t="str">
        <x:v>Redis/Kafka/RabbitMQ/JMS/SFTP/SMS 등 미설치 제품은 API/SPI/Adapter/AutoConfiguration/Properties/Simulator/Fault Test/ADM/Guide까지 구현하되 실제 제품 연동은 미검증으로 남긴다.</x:v>
      </x:c>
      <x:c r="H656" s="12" t="str">
        <x:v>Interface/YAML만 있으면 부분 구현, Simulator까지 성공해도 실제 Provider는 미검증으로 분리한다.</x:v>
      </x:c>
      <x:c r="I656" s="12" t="str">
        <x:v>대화 후속 확정 요구</x:v>
      </x:c>
      <x:c r="J656" s="12" t="str">
        <x:v>기존 20260728_03 QA 전체</x:v>
      </x:c>
      <x:c r="K656" s="12" t="str">
        <x:v>기존 1,214 QA 및 201 Scenario 연속 추적</x:v>
      </x:c>
      <x:c r="L656" s="12" t="str">
        <x:v>Codex/CI/WAS/MariaDB 및 Provider별 환경 분리</x:v>
      </x:c>
    </x:row>
    <x:row r="657">
      <x:c r="A657" s="12" t="str">
        <x:v>CPF-QA-D04-ADMRT-121</x:v>
      </x:c>
      <x:c r="B657" s="12" t="str">
        <x:v>ADMRT</x:v>
      </x:c>
      <x:c r="C657" s="12" t="str">
        <x:v>WP16</x:v>
      </x:c>
      <x:c r="D657" s="12" t="str">
        <x:v>재확인 필요</x:v>
      </x:c>
      <x:c r="E657" s="12" t="str">
        <x:v>P0</x:v>
      </x:c>
      <x:c r="F657" s="12" t="str">
        <x:v>DB Vendor Canonical·Runtime SQL 일치</x:v>
      </x:c>
      <x:c r="G657" s="12" t="str">
        <x:v>MariaDB/PostgreSQL/Oracle은 Canonical Schema와 Vendor DDL/Migration/Runtime Query/Seed/Install/Upgrade/Rollback을 동일 Change Set으로 관리한다. 공통 Repository에서 Vendor 전용 LIMIT/UPSERT/Sequence SQL을 직접 사용하지 않는다.</x:v>
      </x:c>
      <x:c r="H657" s="12" t="str">
        <x:v>3 Vendor 정적 Parity와 MariaDB 실제 Lifecycle, 환경 보유 시 PostgreSQL/Oracle 실제 실행을 분리 기록한다.</x:v>
      </x:c>
      <x:c r="I657" s="12" t="str">
        <x:v>대화 후속 확정 요구</x:v>
      </x:c>
      <x:c r="J657" s="12" t="str">
        <x:v>기존 20260728_03 QA 전체</x:v>
      </x:c>
      <x:c r="K657" s="12" t="str">
        <x:v>기존 1,214 QA 및 201 Scenario 연속 추적</x:v>
      </x:c>
      <x:c r="L657" s="12" t="str">
        <x:v>Codex/CI/WAS/MariaDB 및 Provider별 환경 분리</x:v>
      </x:c>
    </x:row>
    <x:row r="658">
      <x:c r="A658" s="12" t="str">
        <x:v>CPF-QA-D04-ADMRT-122</x:v>
      </x:c>
      <x:c r="B658" s="12" t="str">
        <x:v>ADMRT</x:v>
      </x:c>
      <x:c r="C658" s="12" t="str">
        <x:v>WP16</x:v>
      </x:c>
      <x:c r="D658" s="12" t="str">
        <x:v>재확인 필요</x:v>
      </x:c>
      <x:c r="E658" s="12" t="str">
        <x:v>P1</x:v>
      </x:c>
      <x:c r="F658" s="12" t="str">
        <x:v>ADM 상용 UI 품질</x:v>
      </x:c>
      <x:c r="G658" s="12" t="str">
        <x:v>각 관리 기능은 검색·Paging·상세·상태 Badge·Partial/Stale 표시·오류 원인·재시도·위험 확인·접근성·반응형을 제공하고 Generic JSON/동적 Column 표시에만 의존하지 않는다.</x:v>
      </x:c>
      <x:c r="H658" s="12" t="str">
        <x:v>Browser E2E와 Keyboard/ARIA/DOM 민감정보 검사를 수행한다.</x:v>
      </x:c>
      <x:c r="I658" s="12" t="str">
        <x:v>대화 후속 확정 요구</x:v>
      </x:c>
      <x:c r="J658" s="12" t="str">
        <x:v>기존 20260728_03 QA 전체</x:v>
      </x:c>
      <x:c r="K658" s="12" t="str">
        <x:v>기존 1,214 QA 및 201 Scenario 연속 추적</x:v>
      </x:c>
      <x:c r="L658" s="12" t="str">
        <x:v>Codex/CI/WAS/MariaDB 및 Provider별 환경 분리</x:v>
      </x:c>
    </x:row>
    <x:row r="659">
      <x:c r="A659" s="12" t="str">
        <x:v>CPF-QA-D04-ADMRT-123</x:v>
      </x:c>
      <x:c r="B659" s="12" t="str">
        <x:v>ADMRT</x:v>
      </x:c>
      <x:c r="C659" s="12" t="str">
        <x:v>WP16</x:v>
      </x:c>
      <x:c r="D659" s="12" t="str">
        <x:v>재확인 필요</x:v>
      </x:c>
      <x:c r="E659" s="12" t="str">
        <x:v>P1</x:v>
      </x:c>
      <x:c r="F659" s="12" t="str">
        <x:v>Source Discoverability와 한글 JavaDoc</x:v>
      </x:c>
      <x:c r="G659" s="12" t="str">
        <x:v>중요 Class/Public API/SPI/Controller/복잡 Method는 한글 첫 문장으로 책임·Owner·실패 조건을 설명하고 package-info·Feature Matrix·정적 Catalog에서 Consumer까지 탐색 가능해야 한다.</x:v>
      </x:c>
      <x:c r="H659" s="12" t="str">
        <x:v>IDE Plugin 없이 Source/JavaDoc/Markdown Catalog만으로 기능→Owner→Consumer→Test를 찾을 수 있다.</x:v>
      </x:c>
      <x:c r="I659" s="12" t="str">
        <x:v>대화 후속 확정 요구</x:v>
      </x:c>
      <x:c r="J659" s="12" t="str">
        <x:v>기존 20260728_03 QA 전체</x:v>
      </x:c>
      <x:c r="K659" s="12" t="str">
        <x:v>기존 1,214 QA 및 201 Scenario 연속 추적</x:v>
      </x:c>
      <x:c r="L659" s="12" t="str">
        <x:v>Codex/CI/WAS/MariaDB 및 Provider별 환경 분리</x:v>
      </x:c>
    </x:row>
    <x:row r="660">
      <x:c r="A660" s="12" t="str">
        <x:v>CPF-QA-D04-ADMRT-124</x:v>
      </x:c>
      <x:c r="B660" s="12" t="str">
        <x:v>ADMRT</x:v>
      </x:c>
      <x:c r="C660" s="12" t="str">
        <x:v>WP16</x:v>
      </x:c>
      <x:c r="D660" s="12" t="str">
        <x:v>재확인 필요</x:v>
      </x:c>
      <x:c r="E660" s="12" t="str">
        <x:v>P0</x:v>
      </x:c>
      <x:c r="F660" s="12" t="str">
        <x:v>Evidence 현재 Commit 유효성</x:v>
      </x:c>
      <x:c r="G660" s="12" t="str">
        <x:v>Evidence는 기준 SHA, 명령, Profile/환경, 시작·종료, Requirement, 실제 출력, 민감정보 제거, Artifact Hash를 포함한다. 과거 SHA·다른 장비·한 줄 PASS는 현재 성공으로 승계하지 않는다.</x:v>
      </x:c>
      <x:c r="H660" s="12" t="str">
        <x:v>Manifest와 Evidence 내부 SHA가 최신 검수 SHA와 일치하고 파일 존재·Hash·실행 로그가 검증된다.</x:v>
      </x:c>
      <x:c r="I660" s="12" t="str">
        <x:v>대화 후속 확정 요구</x:v>
      </x:c>
      <x:c r="J660" s="12" t="str">
        <x:v>기존 20260728_03 QA 전체</x:v>
      </x:c>
      <x:c r="K660" s="12" t="str">
        <x:v>기존 1,214 QA 및 201 Scenario 연속 추적</x:v>
      </x:c>
      <x:c r="L660" s="12" t="str">
        <x:v>Codex/CI/WAS/MariaDB 및 Provider별 환경 분리</x:v>
      </x:c>
    </x:row>
    <x:row r="661">
      <x:c r="A661" s="12" t="str">
        <x:v>CPF-QA-D04-REDIS-001</x:v>
      </x:c>
      <x:c r="B661" s="12" t="str">
        <x:v>REDIS</x:v>
      </x:c>
      <x:c r="C661" s="12" t="str">
        <x:v>WP16</x:v>
      </x:c>
      <x:c r="D661" s="12" t="str">
        <x:v>재확인 필요</x:v>
      </x:c>
      <x:c r="E661" s="12" t="str">
        <x:v>P0</x:v>
      </x:c>
      <x:c r="F661" s="12" t="str">
        <x:v>Provider-neutral Cache API·SPI</x:v>
      </x:c>
      <x:c r="G661" s="12" t="str">
        <x:v>cpf-core에는 topology-independent Cache 계약만 두고 RedisTemplate, Lettuce, Jedis 및 Provider 예외를 Public API에 노출하지 않는다. L1/L2, invalidation, consistency, health, unavailable 계약을 분리한다.</x:v>
      </x:c>
      <x:c r="H661" s="12" t="str">
        <x:v>외부 Module import Gate, API signature 검사, Caffeine/Redis 두 Adapter Contract Test에서 동일 행위를 검증한다.</x:v>
      </x:c>
      <x:c r="I661" s="12" t="str">
        <x:v>cpf-core API/SPI, cpf-common consumer, optional Redis adapter</x:v>
      </x:c>
      <x:c r="J661" s="12" t="str"/>
      <x:c r="K661" s="12" t="str">
        <x:v>기존 Caffeine L1·DB durable event 성공 기능</x:v>
      </x:c>
      <x:c r="L661" s="12" t="str">
        <x:v>Redis/Static/Multi-instance</x:v>
      </x:c>
    </x:row>
    <x:row r="662">
      <x:c r="A662" s="12" t="str">
        <x:v>CPF-QA-D04-REDIS-002</x:v>
      </x:c>
      <x:c r="B662" s="12" t="str">
        <x:v>REDIS</x:v>
      </x:c>
      <x:c r="C662" s="12" t="str">
        <x:v>WP16</x:v>
      </x:c>
      <x:c r="D662" s="12" t="str">
        <x:v>미구현</x:v>
      </x:c>
      <x:c r="E662" s="12" t="str">
        <x:v>P0</x:v>
      </x:c>
      <x:c r="F662" s="12" t="str">
        <x:v>Redis Adapter Ownership</x:v>
      </x:c>
      <x:c r="G662" s="12" t="str">
        <x:v>공식 Redis 지원 방식은 ADR로 확정한다. 별도 선택 Module 또는 cpf-common 내부 선택 Adapter 중 하나를 택하고 cpf-core 및 ADM에 Redis 구현을 직접 적치하지 않는다.</x:v>
      </x:c>
      <x:c r="H662" s="12" t="str">
        <x:v>Module dependency graph, AutoConfiguration loading, Redis 미사용 Profile Build, Redis 사용 Profile Runtime을 검증한다.</x:v>
      </x:c>
      <x:c r="I662" s="12" t="str">
        <x:v>Module ownership·dependency direction</x:v>
      </x:c>
      <x:c r="J662" s="12" t="str"/>
      <x:c r="K662" s="12" t="str">
        <x:v>기존 Caffeine L1·DB durable event 성공 기능</x:v>
      </x:c>
      <x:c r="L662" s="12" t="str">
        <x:v>Redis/Static/Multi-instance</x:v>
      </x:c>
    </x:row>
    <x:row r="663">
      <x:c r="A663" s="12" t="str">
        <x:v>CPF-QA-D04-REDIS-003</x:v>
      </x:c>
      <x:c r="B663" s="12" t="str">
        <x:v>REDIS</x:v>
      </x:c>
      <x:c r="C663" s="12" t="str">
        <x:v>WP16</x:v>
      </x:c>
      <x:c r="D663" s="12" t="str">
        <x:v>미구현</x:v>
      </x:c>
      <x:c r="E663" s="12" t="str">
        <x:v>P0</x:v>
      </x:c>
      <x:c r="F663" s="12" t="str">
        <x:v>Redis 의존성·AutoConfiguration</x:v>
      </x:c>
      <x:c r="G663" s="12" t="str">
        <x:v>Redis client, ConnectionFactory, Serializer, Health, Metrics, Properties, conditional AutoConfiguration과 fail-fast 검증을 제품 기능으로 제공한다.</x:v>
      </x:c>
      <x:c r="H663" s="12" t="str">
        <x:v>Redis 미설치/오설정/정상 기동에서 Bean 구성, 오류 메시지, fallback 정책과 context startup 결과를 검증한다.</x:v>
      </x:c>
      <x:c r="I663" s="12" t="str">
        <x:v>build.gradle, AutoConfiguration, configuration metadata</x:v>
      </x:c>
      <x:c r="J663" s="12" t="str"/>
      <x:c r="K663" s="12" t="str">
        <x:v>기존 Caffeine L1·DB durable event 성공 기능</x:v>
      </x:c>
      <x:c r="L663" s="12" t="str">
        <x:v>Redis/Static/Multi-instance</x:v>
      </x:c>
    </x:row>
    <x:row r="664">
      <x:c r="A664" s="12" t="str">
        <x:v>CPF-QA-D04-REDIS-004</x:v>
      </x:c>
      <x:c r="B664" s="12" t="str">
        <x:v>REDIS</x:v>
      </x:c>
      <x:c r="C664" s="12" t="str">
        <x:v>WP16</x:v>
      </x:c>
      <x:c r="D664" s="12" t="str">
        <x:v>미구현</x:v>
      </x:c>
      <x:c r="E664" s="12" t="str">
        <x:v>P0</x:v>
      </x:c>
      <x:c r="F664" s="12" t="str">
        <x:v>Standalone·Sentinel·Cluster 정책</x:v>
      </x:c>
      <x:c r="G664" s="12" t="str">
        <x:v>Standalone, Sentinel, Cluster 지원 범위와 미지원 Mode의 fail-closed 정책을 명시하고 각 Mode별 topology refresh, failover, read preference를 관리한다.</x:v>
      </x:c>
      <x:c r="H664" s="12" t="str">
        <x:v>지원 Mode 실제/Simulator Test와 미지원 Mode startup negative test를 실행한다.</x:v>
      </x:c>
      <x:c r="I664" s="12" t="str">
        <x:v>Redis deployment mode</x:v>
      </x:c>
      <x:c r="J664" s="12" t="str"/>
      <x:c r="K664" s="12" t="str">
        <x:v>기존 Caffeine L1·DB durable event 성공 기능</x:v>
      </x:c>
      <x:c r="L664" s="12" t="str">
        <x:v>Redis/Static/Multi-instance</x:v>
      </x:c>
    </x:row>
    <x:row r="665">
      <x:c r="A665" s="12" t="str">
        <x:v>CPF-QA-D04-REDIS-005</x:v>
      </x:c>
      <x:c r="B665" s="12" t="str">
        <x:v>REDIS</x:v>
      </x:c>
      <x:c r="C665" s="12" t="str">
        <x:v>WP16</x:v>
      </x:c>
      <x:c r="D665" s="12" t="str">
        <x:v>미구현</x:v>
      </x:c>
      <x:c r="E665" s="12" t="str">
        <x:v>P0</x:v>
      </x:c>
      <x:c r="F665" s="12" t="str">
        <x:v>TLS·ACL·Secret Reference</x:v>
      </x:c>
      <x:c r="G665" s="12" t="str">
        <x:v>Redis 접속정보는 Secret Reference를 사용하고 TLS, ACL username, password rotation, 인증서 만료와 hostname 검증을 제공한다.</x:v>
      </x:c>
      <x:c r="H665" s="12" t="str">
        <x:v>평문 Secret Scan, 잘못된 인증·만료 인증서·rotation 중 연결 유지/복구 시나리오를 검증한다.</x:v>
      </x:c>
      <x:c r="I665" s="12" t="str">
        <x:v>Security, secret, certificate</x:v>
      </x:c>
      <x:c r="J665" s="12" t="str"/>
      <x:c r="K665" s="12" t="str">
        <x:v>기존 Caffeine L1·DB durable event 성공 기능</x:v>
      </x:c>
      <x:c r="L665" s="12" t="str">
        <x:v>Redis/Static/Multi-instance</x:v>
      </x:c>
    </x:row>
    <x:row r="666">
      <x:c r="A666" s="12" t="str">
        <x:v>CPF-QA-D04-REDIS-006</x:v>
      </x:c>
      <x:c r="B666" s="12" t="str">
        <x:v>REDIS</x:v>
      </x:c>
      <x:c r="C666" s="12" t="str">
        <x:v>WP16</x:v>
      </x:c>
      <x:c r="D666" s="12" t="str">
        <x:v>재확인 필요</x:v>
      </x:c>
      <x:c r="E666" s="12" t="str">
        <x:v>P0</x:v>
      </x:c>
      <x:c r="F666" s="12" t="str">
        <x:v>Key Namespace 표준</x:v>
      </x:c>
      <x:c r="G666" s="12" t="str">
        <x:v>Key는 product/environment/domain/systemCode/cacheName/tenant-or-dataScope/schemaVersion/businessKey를 포함하고 환경·도메인·Tenant 충돌을 방지한다.</x:v>
      </x:c>
      <x:c r="H666" s="12" t="str">
        <x:v>충돌·길이·금지문자·민감정보 원문 Key·다른 Tenant 조회 negative test를 수행한다.</x:v>
      </x:c>
      <x:c r="I666" s="12" t="str">
        <x:v>Cache key contract</x:v>
      </x:c>
      <x:c r="J666" s="12" t="str"/>
      <x:c r="K666" s="12" t="str">
        <x:v>기존 Caffeine L1·DB durable event 성공 기능</x:v>
      </x:c>
      <x:c r="L666" s="12" t="str">
        <x:v>Redis/Static/Multi-instance</x:v>
      </x:c>
    </x:row>
    <x:row r="667">
      <x:c r="A667" s="12" t="str">
        <x:v>CPF-QA-D04-REDIS-007</x:v>
      </x:c>
      <x:c r="B667" s="12" t="str">
        <x:v>REDIS</x:v>
      </x:c>
      <x:c r="C667" s="12" t="str">
        <x:v>WP16</x:v>
      </x:c>
      <x:c r="D667" s="12" t="str">
        <x:v>재확인 필요</x:v>
      </x:c>
      <x:c r="E667" s="12" t="str">
        <x:v>P0</x:v>
      </x:c>
      <x:c r="F667" s="12" t="str">
        <x:v>Serialization·Schema Version</x:v>
      </x:c>
      <x:c r="G667" s="12" t="str">
        <x:v>Java native serialization을 금지하고 명시적 JSON/Binary Schema, type whitelist, schemaVersion, backward compatibility, poison entry 격리를 제공한다.</x:v>
      </x:c>
      <x:c r="H667" s="12" t="str">
        <x:v>이전/현재/미지원 Version, 변조 payload, unknown type, 역직렬화 실패와 안전한 eviction을 검증한다.</x:v>
      </x:c>
      <x:c r="I667" s="12" t="str">
        <x:v>Serializer and compatibility</x:v>
      </x:c>
      <x:c r="J667" s="12" t="str"/>
      <x:c r="K667" s="12" t="str">
        <x:v>기존 Caffeine L1·DB durable event 성공 기능</x:v>
      </x:c>
      <x:c r="L667" s="12" t="str">
        <x:v>Redis/Static/Multi-instance</x:v>
      </x:c>
    </x:row>
    <x:row r="668">
      <x:c r="A668" s="12" t="str">
        <x:v>CPF-QA-D04-REDIS-008</x:v>
      </x:c>
      <x:c r="B668" s="12" t="str">
        <x:v>REDIS</x:v>
      </x:c>
      <x:c r="C668" s="12" t="str">
        <x:v>WP16</x:v>
      </x:c>
      <x:c r="D668" s="12" t="str">
        <x:v>재확인 필요</x:v>
      </x:c>
      <x:c r="E668" s="12" t="str">
        <x:v>P0</x:v>
      </x:c>
      <x:c r="F668" s="12" t="str">
        <x:v>TTL·Jitter·Negative Cache</x:v>
      </x:c>
      <x:c r="G668" s="12" t="str">
        <x:v>Cache별 TTL, idle TTL 사용 여부, TTL jitter, null/negative cache 정책과 최대 negative TTL을 설정 가능하게 한다.</x:v>
      </x:c>
      <x:c r="H668" s="12" t="str">
        <x:v>만료 경계, 동시 만료 폭주, clock skew, null cache 오염, stale read 허용 범위를 검증한다.</x:v>
      </x:c>
      <x:c r="I668" s="12" t="str">
        <x:v>Cache policy registry</x:v>
      </x:c>
      <x:c r="J668" s="12" t="str"/>
      <x:c r="K668" s="12" t="str">
        <x:v>기존 Caffeine L1·DB durable event 성공 기능</x:v>
      </x:c>
      <x:c r="L668" s="12" t="str">
        <x:v>Redis/Static/Multi-instance</x:v>
      </x:c>
    </x:row>
    <x:row r="669">
      <x:c r="A669" s="12" t="str">
        <x:v>CPF-QA-D04-REDIS-009</x:v>
      </x:c>
      <x:c r="B669" s="12" t="str">
        <x:v>REDIS</x:v>
      </x:c>
      <x:c r="C669" s="12" t="str">
        <x:v>WP16</x:v>
      </x:c>
      <x:c r="D669" s="12" t="str">
        <x:v>재확인 필요</x:v>
      </x:c>
      <x:c r="E669" s="12" t="str">
        <x:v>P0</x:v>
      </x:c>
      <x:c r="F669" s="12" t="str">
        <x:v>Entry Size·Eviction·Memory Guard</x:v>
      </x:c>
      <x:c r="G669" s="12" t="str">
        <x:v>최대 Entry 수, 최대 Value Size, eviction 정책, memory high-watermark와 oversized value 거부를 제공한다.</x:v>
      </x:c>
      <x:c r="H669" s="12" t="str">
        <x:v>대형 value, 메모리 압박, eviction storm에서도 원 거래와 JVM 안정성을 검증한다.</x:v>
      </x:c>
      <x:c r="I669" s="12" t="str">
        <x:v>Capacity and memory</x:v>
      </x:c>
      <x:c r="J669" s="12" t="str"/>
      <x:c r="K669" s="12" t="str">
        <x:v>기존 Caffeine L1·DB durable event 성공 기능</x:v>
      </x:c>
      <x:c r="L669" s="12" t="str">
        <x:v>Redis/Static/Multi-instance</x:v>
      </x:c>
    </x:row>
    <x:row r="670">
      <x:c r="A670" s="12" t="str">
        <x:v>CPF-QA-D04-REDIS-010</x:v>
      </x:c>
      <x:c r="B670" s="12" t="str">
        <x:v>REDIS</x:v>
      </x:c>
      <x:c r="C670" s="12" t="str">
        <x:v>WP16</x:v>
      </x:c>
      <x:c r="D670" s="12" t="str">
        <x:v>재확인 필요</x:v>
      </x:c>
      <x:c r="E670" s="12" t="str">
        <x:v>P0</x:v>
      </x:c>
      <x:c r="F670" s="12" t="str">
        <x:v>Cache-aside 일관성</x:v>
      </x:c>
      <x:c r="G670" s="12" t="str">
        <x:v>Read-through/cache-aside 갱신 순서, DB commit 이후 invalidation, rollback 시 cache 오염 방지, stale window를 명시한다.</x:v>
      </x:c>
      <x:c r="H670" s="12" t="str">
        <x:v>DB commit/rollback, cache write 실패, 응답 유실, 동일 Key 동시 갱신을 fault injection으로 검증한다.</x:v>
      </x:c>
      <x:c r="I670" s="12" t="str">
        <x:v>Business cache consistency</x:v>
      </x:c>
      <x:c r="J670" s="12" t="str"/>
      <x:c r="K670" s="12" t="str">
        <x:v>기존 Caffeine L1·DB durable event 성공 기능</x:v>
      </x:c>
      <x:c r="L670" s="12" t="str">
        <x:v>Redis/Static/Multi-instance</x:v>
      </x:c>
    </x:row>
    <x:row r="671">
      <x:c r="A671" s="12" t="str">
        <x:v>CPF-QA-D04-REDIS-011</x:v>
      </x:c>
      <x:c r="B671" s="12" t="str">
        <x:v>REDIS</x:v>
      </x:c>
      <x:c r="C671" s="12" t="str">
        <x:v>WP16</x:v>
      </x:c>
      <x:c r="D671" s="12" t="str">
        <x:v>재확인 필요</x:v>
      </x:c>
      <x:c r="E671" s="12" t="str">
        <x:v>P0</x:v>
      </x:c>
      <x:c r="F671" s="12" t="str">
        <x:v>Stampede·Single-flight</x:v>
      </x:c>
      <x:c r="G671" s="12" t="str">
        <x:v>Hot key 재생성은 single-flight 또는 동등 제어를 사용하고 대기 상한, stale fallback, timeout을 제공한다.</x:v>
      </x:c>
      <x:c r="H671" s="12" t="str">
        <x:v>100개 동시 miss에서 backend 호출 수, 대기 timeout, leader kill, fallback 결과를 검증한다.</x:v>
      </x:c>
      <x:c r="I671" s="12" t="str">
        <x:v>Concurrency</x:v>
      </x:c>
      <x:c r="J671" s="12" t="str"/>
      <x:c r="K671" s="12" t="str">
        <x:v>기존 Caffeine L1·DB durable event 성공 기능</x:v>
      </x:c>
      <x:c r="L671" s="12" t="str">
        <x:v>Redis/Static/Multi-instance</x:v>
      </x:c>
    </x:row>
    <x:row r="672">
      <x:c r="A672" s="12" t="str">
        <x:v>CPF-QA-D04-REDIS-012</x:v>
      </x:c>
      <x:c r="B672" s="12" t="str">
        <x:v>REDIS</x:v>
      </x:c>
      <x:c r="C672" s="12" t="str">
        <x:v>WP16</x:v>
      </x:c>
      <x:c r="D672" s="12" t="str">
        <x:v>재확인 필요</x:v>
      </x:c>
      <x:c r="E672" s="12" t="str">
        <x:v>P0</x:v>
      </x:c>
      <x:c r="F672" s="12" t="str">
        <x:v>Distributed Lock·Fencing</x:v>
      </x:c>
      <x:c r="G672" s="12" t="str">
        <x:v>분산 Lock은 owner token, TTL, renewal, fencing token을 사용하고 오래된 Owner의 write를 차단한다. 무조건 DEL 해제를 금지한다.</x:v>
      </x:c>
      <x:c r="H672" s="12" t="str">
        <x:v>lock owner mismatch, process kill, TTL 만료, network delay, stale owner write를 검증한다.</x:v>
      </x:c>
      <x:c r="I672" s="12" t="str">
        <x:v>Lock correctness</x:v>
      </x:c>
      <x:c r="J672" s="12" t="str"/>
      <x:c r="K672" s="12" t="str">
        <x:v>기존 Caffeine L1·DB durable event 성공 기능</x:v>
      </x:c>
      <x:c r="L672" s="12" t="str">
        <x:v>Redis/Static/Multi-instance</x:v>
      </x:c>
    </x:row>
    <x:row r="673">
      <x:c r="A673" s="12" t="str">
        <x:v>CPF-QA-D04-REDIS-013</x:v>
      </x:c>
      <x:c r="B673" s="12" t="str">
        <x:v>REDIS</x:v>
      </x:c>
      <x:c r="C673" s="12" t="str">
        <x:v>WP16</x:v>
      </x:c>
      <x:c r="D673" s="12" t="str">
        <x:v>재확인 필요</x:v>
      </x:c>
      <x:c r="E673" s="12" t="str">
        <x:v>P0</x:v>
      </x:c>
      <x:c r="F673" s="12" t="str">
        <x:v>Invalidation Event 계약</x:v>
      </x:c>
      <x:c r="G673" s="12" t="str">
        <x:v>eventId, operationId, requestHash, cacheName, key/scope, source, target, dataVersion, schemaVersion, reason, requester, created/expiresAt를 포함한다.</x:v>
      </x:c>
      <x:c r="H673" s="12" t="str">
        <x:v>Schema validation, 동일 operation 재전송, 다른 payload 충돌, masking과 audit 연결을 검증한다.</x:v>
      </x:c>
      <x:c r="I673" s="12" t="str">
        <x:v>Invalidation public contract</x:v>
      </x:c>
      <x:c r="J673" s="12" t="str"/>
      <x:c r="K673" s="12" t="str">
        <x:v>기존 Caffeine L1·DB durable event 성공 기능</x:v>
      </x:c>
      <x:c r="L673" s="12" t="str">
        <x:v>Redis/Static/Multi-instance</x:v>
      </x:c>
    </x:row>
    <x:row r="674">
      <x:c r="A674" s="12" t="str">
        <x:v>CPF-QA-D04-REDIS-014</x:v>
      </x:c>
      <x:c r="B674" s="12" t="str">
        <x:v>REDIS</x:v>
      </x:c>
      <x:c r="C674" s="12" t="str">
        <x:v>WP16</x:v>
      </x:c>
      <x:c r="D674" s="12" t="str">
        <x:v>미구현</x:v>
      </x:c>
      <x:c r="E674" s="12" t="str">
        <x:v>P0</x:v>
      </x:c>
      <x:c r="F674" s="12" t="str">
        <x:v>Durable Invalidation Source</x:v>
      </x:c>
      <x:c r="G674" s="12" t="str">
        <x:v>Redis Pub/Sub만으로 정합성을 보장하지 않고 DB Outbox 또는 Redis Stream 등 durable source와 재기동 replay를 제공한다.</x:v>
      </x:c>
      <x:c r="H674" s="12" t="str">
        <x:v>publish 후 process kill, Redis down, DB down, offline consumer 복귀에서 event loss 0을 검증한다.</x:v>
      </x:c>
      <x:c r="I674" s="12" t="str">
        <x:v>Durability</x:v>
      </x:c>
      <x:c r="J674" s="12" t="str"/>
      <x:c r="K674" s="12" t="str">
        <x:v>기존 Caffeine L1·DB durable event 성공 기능</x:v>
      </x:c>
      <x:c r="L674" s="12" t="str">
        <x:v>Redis/Static/Multi-instance</x:v>
      </x:c>
    </x:row>
    <x:row r="675">
      <x:c r="A675" s="12" t="str">
        <x:v>CPF-QA-D04-REDIS-015</x:v>
      </x:c>
      <x:c r="B675" s="12" t="str">
        <x:v>REDIS</x:v>
      </x:c>
      <x:c r="C675" s="12" t="str">
        <x:v>WP16</x:v>
      </x:c>
      <x:c r="D675" s="12" t="str">
        <x:v>미구현</x:v>
      </x:c>
      <x:c r="E675" s="12" t="str">
        <x:v>P0</x:v>
      </x:c>
      <x:c r="F675" s="12" t="str">
        <x:v>Fast Invalidation Channel</x:v>
      </x:c>
      <x:c r="G675" s="12" t="str">
        <x:v>Pub/Sub 또는 Stream 기반 빠른 전파를 제공하되 durable source와 eventId/version으로 중복을 제거한다.</x:v>
      </x:c>
      <x:c r="H675" s="12" t="str">
        <x:v>중복·순서 역전·채널 단절·재연결·slow consumer를 검증한다.</x:v>
      </x:c>
      <x:c r="I675" s="12" t="str">
        <x:v>Low-latency propagation</x:v>
      </x:c>
      <x:c r="J675" s="12" t="str"/>
      <x:c r="K675" s="12" t="str">
        <x:v>기존 Caffeine L1·DB durable event 성공 기능</x:v>
      </x:c>
      <x:c r="L675" s="12" t="str">
        <x:v>Redis/Static/Multi-instance</x:v>
      </x:c>
    </x:row>
    <x:row r="676">
      <x:c r="A676" s="12" t="str">
        <x:v>CPF-QA-D04-REDIS-016</x:v>
      </x:c>
      <x:c r="B676" s="12" t="str">
        <x:v>REDIS</x:v>
      </x:c>
      <x:c r="C676" s="12" t="str">
        <x:v>WP16</x:v>
      </x:c>
      <x:c r="D676" s="12" t="str">
        <x:v>재확인 필요</x:v>
      </x:c>
      <x:c r="E676" s="12" t="str">
        <x:v>P0</x:v>
      </x:c>
      <x:c r="F676" s="12" t="str">
        <x:v>Consumer Identity</x:v>
      </x:c>
      <x:c r="G676" s="12" t="str">
        <x:v>consumer identity는 environment/systemCode/serviceId/runtimeRole/serverInstanceId/instanceId를 포함하고 기본값 local 공유를 금지한다.</x:v>
      </x:c>
      <x:c r="H676" s="12" t="str">
        <x:v>중복 ID 기동 차단, clone instance, 재기동 identity 유지와 새 instance 구분을 검증한다.</x:v>
      </x:c>
      <x:c r="I676" s="12" t="str">
        <x:v>Multi-instance identity</x:v>
      </x:c>
      <x:c r="J676" s="12" t="str"/>
      <x:c r="K676" s="12" t="str">
        <x:v>기존 Caffeine L1·DB durable event 성공 기능</x:v>
      </x:c>
      <x:c r="L676" s="12" t="str">
        <x:v>Redis/Static/Multi-instance</x:v>
      </x:c>
    </x:row>
    <x:row r="677">
      <x:c r="A677" s="12" t="str">
        <x:v>CPF-QA-D04-REDIS-017</x:v>
      </x:c>
      <x:c r="B677" s="12" t="str">
        <x:v>REDIS</x:v>
      </x:c>
      <x:c r="C677" s="12" t="str">
        <x:v>WP16</x:v>
      </x:c>
      <x:c r="D677" s="12" t="str">
        <x:v>재확인 필요</x:v>
      </x:c>
      <x:c r="E677" s="12" t="str">
        <x:v>P0</x:v>
      </x:c>
      <x:c r="F677" s="12" t="str">
        <x:v>Checkpoint CAS</x:v>
      </x:c>
      <x:c r="G677" s="12" t="str">
        <x:v>checkpoint는 consumerId, expectedLastEventId, nextEventId, version 기반 CAS로 갱신하고 동일 Consumer의 이중 실행을 차단한다.</x:v>
      </x:c>
      <x:c r="H677" s="12" t="str">
        <x:v>동시 poller, stale checkpoint writer, DB timeout, 재시작 후 정확한 resume를 검증한다.</x:v>
      </x:c>
      <x:c r="I677" s="12" t="str">
        <x:v>Checkpoint repository</x:v>
      </x:c>
      <x:c r="J677" s="12" t="str"/>
      <x:c r="K677" s="12" t="str">
        <x:v>기존 Caffeine L1·DB durable event 성공 기능</x:v>
      </x:c>
      <x:c r="L677" s="12" t="str">
        <x:v>Redis/Static/Multi-instance</x:v>
      </x:c>
    </x:row>
    <x:row r="678">
      <x:c r="A678" s="12" t="str">
        <x:v>CPF-QA-D04-REDIS-018</x:v>
      </x:c>
      <x:c r="B678" s="12" t="str">
        <x:v>REDIS</x:v>
      </x:c>
      <x:c r="C678" s="12" t="str">
        <x:v>WP16</x:v>
      </x:c>
      <x:c r="D678" s="12" t="str">
        <x:v>재확인 필요</x:v>
      </x:c>
      <x:c r="E678" s="12" t="str">
        <x:v>P0</x:v>
      </x:c>
      <x:c r="F678" s="12" t="str">
        <x:v>Backlog Paging·Backpressure</x:v>
      </x:c>
      <x:c r="G678" s="12" t="str">
        <x:v>offline backlog를 제한 Batch, stable ordering, cursor, processing time budget, backpressure로 처리하고 전체 메모리 적재를 금지한다.</x:v>
      </x:c>
      <x:c r="H678" s="12" t="str">
        <x:v>10만 event backlog, 중간 kill, 재시작, 처리율 저하, cancel에서 bounded memory를 검증한다.</x:v>
      </x:c>
      <x:c r="I678" s="12" t="str">
        <x:v>Large backlog</x:v>
      </x:c>
      <x:c r="J678" s="12" t="str"/>
      <x:c r="K678" s="12" t="str">
        <x:v>기존 Caffeine L1·DB durable event 성공 기능</x:v>
      </x:c>
      <x:c r="L678" s="12" t="str">
        <x:v>Redis/Static/Multi-instance</x:v>
      </x:c>
    </x:row>
    <x:row r="679">
      <x:c r="A679" s="12" t="str">
        <x:v>CPF-QA-D04-REDIS-019</x:v>
      </x:c>
      <x:c r="B679" s="12" t="str">
        <x:v>REDIS</x:v>
      </x:c>
      <x:c r="C679" s="12" t="str">
        <x:v>WP16</x:v>
      </x:c>
      <x:c r="D679" s="12" t="str">
        <x:v>재확인 필요</x:v>
      </x:c>
      <x:c r="E679" s="12" t="str">
        <x:v>P0</x:v>
      </x:c>
      <x:c r="F679" s="12" t="str">
        <x:v>Retry·Poison·DLQ</x:v>
      </x:c>
      <x:c r="G679" s="12" t="str">
        <x:v>재시도 가능 오류와 불가능 오류를 분리하고 bounded retry, backoff, poison quarantine, 수동 재처리와 감사 이력을 제공한다.</x:v>
      </x:c>
      <x:c r="H679" s="12" t="str">
        <x:v>항상 실패 event, 일시 오류, schema 오류, retry 소진, 선택 재처리를 검증한다.</x:v>
      </x:c>
      <x:c r="I679" s="12" t="str">
        <x:v>Failure recovery</x:v>
      </x:c>
      <x:c r="J679" s="12" t="str"/>
      <x:c r="K679" s="12" t="str">
        <x:v>기존 Caffeine L1·DB durable event 성공 기능</x:v>
      </x:c>
      <x:c r="L679" s="12" t="str">
        <x:v>Redis/Static/Multi-instance</x:v>
      </x:c>
    </x:row>
    <x:row r="680">
      <x:c r="A680" s="12" t="str">
        <x:v>CPF-QA-D04-REDIS-020</x:v>
      </x:c>
      <x:c r="B680" s="12" t="str">
        <x:v>REDIS</x:v>
      </x:c>
      <x:c r="C680" s="12" t="str">
        <x:v>WP16</x:v>
      </x:c>
      <x:c r="D680" s="12" t="str">
        <x:v>재확인 필요</x:v>
      </x:c>
      <x:c r="E680" s="12" t="str">
        <x:v>P0</x:v>
      </x:c>
      <x:c r="F680" s="12" t="str">
        <x:v>Offline Reconcile</x:v>
      </x:c>
      <x:c r="G680" s="12" t="str">
        <x:v>Instance 복귀 시 canonical snapshot, desiredVersion, appliedVersion을 비교해 누락 event replay 또는 full reconcile을 수행한다.</x:v>
      </x:c>
      <x:c r="H680" s="12" t="str">
        <x:v>장시간 offline, event retention 초과, snapshot 갱신 중 장애, version gap을 검증한다.</x:v>
      </x:c>
      <x:c r="I680" s="12" t="str">
        <x:v>Recovery</x:v>
      </x:c>
      <x:c r="J680" s="12" t="str"/>
      <x:c r="K680" s="12" t="str">
        <x:v>기존 Caffeine L1·DB durable event 성공 기능</x:v>
      </x:c>
      <x:c r="L680" s="12" t="str">
        <x:v>Redis/Static/Multi-instance</x:v>
      </x:c>
    </x:row>
    <x:row r="681">
      <x:c r="A681" s="12" t="str">
        <x:v>CPF-QA-D04-REDIS-021</x:v>
      </x:c>
      <x:c r="B681" s="12" t="str">
        <x:v>REDIS</x:v>
      </x:c>
      <x:c r="C681" s="12" t="str">
        <x:v>WP16</x:v>
      </x:c>
      <x:c r="D681" s="12" t="str">
        <x:v>재확인 필요</x:v>
      </x:c>
      <x:c r="E681" s="12" t="str">
        <x:v>P0</x:v>
      </x:c>
      <x:c r="F681" s="12" t="str">
        <x:v>Desired·Actual·Drift</x:v>
      </x:c>
      <x:c r="G681" s="12" t="str">
        <x:v>Cache Region과 Instance별 desiredVersion, actualVersion, hash, lastAck, driftReason, restartRequired를 저장하고 운영 조회한다.</x:v>
      </x:c>
      <x:c r="H681" s="12" t="str">
        <x:v>부분 적용, stale ACK, offline instance, hash mismatch와 reconcile 결과를 검증한다.</x:v>
      </x:c>
      <x:c r="I681" s="12" t="str">
        <x:v>Runtime control plane</x:v>
      </x:c>
      <x:c r="J681" s="12" t="str"/>
      <x:c r="K681" s="12" t="str">
        <x:v>기존 Caffeine L1·DB durable event 성공 기능</x:v>
      </x:c>
      <x:c r="L681" s="12" t="str">
        <x:v>Redis/Static/Multi-instance</x:v>
      </x:c>
    </x:row>
    <x:row r="682">
      <x:c r="A682" s="12" t="str">
        <x:v>CPF-QA-D04-REDIS-022</x:v>
      </x:c>
      <x:c r="B682" s="12" t="str">
        <x:v>REDIS</x:v>
      </x:c>
      <x:c r="C682" s="12" t="str">
        <x:v>WP16</x:v>
      </x:c>
      <x:c r="D682" s="12" t="str">
        <x:v>재확인 필요</x:v>
      </x:c>
      <x:c r="E682" s="12" t="str">
        <x:v>P0</x:v>
      </x:c>
      <x:c r="F682" s="12" t="str">
        <x:v>Fail-open·Fail-closed 정책</x:v>
      </x:c>
      <x:c r="G682" s="12" t="str">
        <x:v>Cache 유형별 장애 정책을 명시한다. 권한·보안·Secret Cache는 임의 fail-open을 금지하고 일반 조회 Cache도 stale 한계를 둔다.</x:v>
      </x:c>
      <x:c r="H682" s="12" t="str">
        <x:v>Redis down, DB down, 양쪽 down, stale TTL 초과에서 업무별 기대 결과를 검증한다.</x:v>
      </x:c>
      <x:c r="I682" s="12" t="str">
        <x:v>Resilience policy</x:v>
      </x:c>
      <x:c r="J682" s="12" t="str"/>
      <x:c r="K682" s="12" t="str">
        <x:v>기존 Caffeine L1·DB durable event 성공 기능</x:v>
      </x:c>
      <x:c r="L682" s="12" t="str">
        <x:v>Redis/Static/Multi-instance</x:v>
      </x:c>
    </x:row>
    <x:row r="683">
      <x:c r="A683" s="12" t="str">
        <x:v>CPF-QA-D04-REDIS-023</x:v>
      </x:c>
      <x:c r="B683" s="12" t="str">
        <x:v>REDIS</x:v>
      </x:c>
      <x:c r="C683" s="12" t="str">
        <x:v>WP16</x:v>
      </x:c>
      <x:c r="D683" s="12" t="str">
        <x:v>미구현</x:v>
      </x:c>
      <x:c r="E683" s="12" t="str">
        <x:v>P0</x:v>
      </x:c>
      <x:c r="F683" s="12" t="str">
        <x:v>ADM Cache 운영 UI</x:v>
      </x:c>
      <x:c r="G683" s="12" t="str">
        <x:v>ADM은 L1/L2 provider, hit/miss, entry, memory, TTL, version, instance ACK, backlog, poison, drift, Redis topology를 전용 Grid로 제공한다.</x:v>
      </x:c>
      <x:c r="H683" s="12" t="str">
        <x:v>권한별 Browser E2E, 대량 instance virtual scroll, 오류 상태와 상세 drill-down을 검증한다.</x:v>
      </x:c>
      <x:c r="I683" s="12" t="str">
        <x:v>ADM UI</x:v>
      </x:c>
      <x:c r="J683" s="12" t="str"/>
      <x:c r="K683" s="12" t="str">
        <x:v>기존 Caffeine L1·DB durable event 성공 기능</x:v>
      </x:c>
      <x:c r="L683" s="12" t="str">
        <x:v>Redis/Static/Multi-instance</x:v>
      </x:c>
    </x:row>
    <x:row r="684">
      <x:c r="A684" s="12" t="str">
        <x:v>CPF-QA-D04-REDIS-024</x:v>
      </x:c>
      <x:c r="B684" s="12" t="str">
        <x:v>REDIS</x:v>
      </x:c>
      <x:c r="C684" s="12" t="str">
        <x:v>WP16</x:v>
      </x:c>
      <x:c r="D684" s="12" t="str">
        <x:v>미구현</x:v>
      </x:c>
      <x:c r="E684" s="12" t="str">
        <x:v>P0</x:v>
      </x:c>
      <x:c r="F684" s="12" t="str">
        <x:v>Cache 위험 조치</x:v>
      </x:c>
      <x:c r="G684" s="12" t="str">
        <x:v>Full refresh, key/scope evict, snapshot rebuild, poison retry, reconcile은 Preview, target snapshot, reason, approval, expectedVersion, operationId와 대상별 결과를 가진다.</x:v>
      </x:c>
      <x:c r="H684" s="12" t="str">
        <x:v>무권한, 승인 만료, CAS 충돌, 부분 실패, rollback/reconcile 시나리오를 검증한다.</x:v>
      </x:c>
      <x:c r="I684" s="12" t="str">
        <x:v>ADM control</x:v>
      </x:c>
      <x:c r="J684" s="12" t="str"/>
      <x:c r="K684" s="12" t="str">
        <x:v>기존 Caffeine L1·DB durable event 성공 기능</x:v>
      </x:c>
      <x:c r="L684" s="12" t="str">
        <x:v>Redis/Static/Multi-instance</x:v>
      </x:c>
    </x:row>
    <x:row r="685">
      <x:c r="A685" s="12" t="str">
        <x:v>CPF-QA-D04-REDIS-025</x:v>
      </x:c>
      <x:c r="B685" s="12" t="str">
        <x:v>REDIS</x:v>
      </x:c>
      <x:c r="C685" s="12" t="str">
        <x:v>WP16</x:v>
      </x:c>
      <x:c r="D685" s="12" t="str">
        <x:v>재확인 필요</x:v>
      </x:c>
      <x:c r="E685" s="12" t="str">
        <x:v>P1</x:v>
      </x:c>
      <x:c r="F685" s="12" t="str">
        <x:v>Health·Metrics·Alert</x:v>
      </x:c>
      <x:c r="G685" s="12" t="str">
        <x:v>Redis connection, command latency, pool, errors, hit ratio, eviction, backlog, drift, reconcile 지표와 Alert Event를 제공한다.</x:v>
      </x:c>
      <x:c r="H685" s="12" t="str">
        <x:v>Metric cardinality, sensitive label, threshold, Redis failover 중 alert storm 억제를 검증한다.</x:v>
      </x:c>
      <x:c r="I685" s="12" t="str">
        <x:v>Observability</x:v>
      </x:c>
      <x:c r="J685" s="12" t="str"/>
      <x:c r="K685" s="12" t="str">
        <x:v>기존 Caffeine L1·DB durable event 성공 기능</x:v>
      </x:c>
      <x:c r="L685" s="12" t="str">
        <x:v>Redis/Static/Multi-instance</x:v>
      </x:c>
    </x:row>
    <x:row r="686">
      <x:c r="A686" s="12" t="str">
        <x:v>CPF-QA-D04-REDIS-026</x:v>
      </x:c>
      <x:c r="B686" s="12" t="str">
        <x:v>REDIS</x:v>
      </x:c>
      <x:c r="C686" s="12" t="str">
        <x:v>WP16</x:v>
      </x:c>
      <x:c r="D686" s="12" t="str">
        <x:v>미구현</x:v>
      </x:c>
      <x:c r="E686" s="12" t="str">
        <x:v>P1</x:v>
      </x:c>
      <x:c r="F686" s="12" t="str">
        <x:v>Redis Testkit·EDU</x:v>
      </x:c>
      <x:c r="G686" s="12" t="str">
        <x:v>Fake/Simulator, Embedded 또는 Testcontainers 선택 검증, Cache-aside/TTL/lock/stream/pubsub/failure EDU를 실제 Public API로 제공한다.</x:v>
      </x:c>
      <x:c r="H686" s="12" t="str">
        <x:v>외부 Redis 미설치 상태와 실 Redis 상태를 분리 판정하고 실행 Guide와 Evidence를 남긴다.</x:v>
      </x:c>
      <x:c r="I686" s="12" t="str">
        <x:v>Reference/EDU</x:v>
      </x:c>
      <x:c r="J686" s="12" t="str"/>
      <x:c r="K686" s="12" t="str">
        <x:v>기존 Caffeine L1·DB durable event 성공 기능</x:v>
      </x:c>
      <x:c r="L686" s="12" t="str">
        <x:v>Redis/Static/Multi-instance</x:v>
      </x:c>
    </x:row>
    <x:row r="687">
      <x:c r="A687" s="12" t="str">
        <x:v>CPF-QA-D04-UIX-001</x:v>
      </x:c>
      <x:c r="B687" s="12" t="str">
        <x:v>UIX</x:v>
      </x:c>
      <x:c r="C687" s="12" t="str">
        <x:v>WP17</x:v>
      </x:c>
      <x:c r="D687" s="12" t="str">
        <x:v>재확인 필요</x:v>
      </x:c>
      <x:c r="E687" s="12" t="str">
        <x:v>P0</x:v>
      </x:c>
      <x:c r="F687" s="12" t="str">
        <x:v>ADM/BZA 기능 완전성 Matrix</x:v>
      </x:c>
      <x:c r="G687" s="12" t="str">
        <x:v>모든 Requirement를 Menu Group→Menu→Route→Page/Tab/Drawer→Button→Permission→API→Owner→DB→Audit→E2E로 추적한다.</x:v>
      </x:c>
      <x:c r="H687" s="12" t="str">
        <x:v>고아 Menu/Route/Page/API/Button 0건과 양방향 추적을 자동 Gate와 Browser로 검증한다.</x:v>
      </x:c>
      <x:c r="I687" s="12" t="str">
        <x:v>ADM/BZA 전체</x:v>
      </x:c>
      <x:c r="J687" s="12" t="str">
        <x:v>CPF-QA-D04-ACT-001</x:v>
      </x:c>
      <x:c r="K687" s="12" t="str">
        <x:v>기존 ADM/BZA Route·기능 접근</x:v>
      </x:c>
      <x:c r="L687" s="12" t="str">
        <x:v>Browser/Frontend</x:v>
      </x:c>
    </x:row>
    <x:row r="688">
      <x:c r="A688" s="12" t="str">
        <x:v>CPF-QA-D04-UIX-002</x:v>
      </x:c>
      <x:c r="B688" s="12" t="str">
        <x:v>UIX</x:v>
      </x:c>
      <x:c r="C688" s="12" t="str">
        <x:v>WP17</x:v>
      </x:c>
      <x:c r="D688" s="12" t="str">
        <x:v>재확인 필요</x:v>
      </x:c>
      <x:c r="E688" s="12" t="str">
        <x:v>P0</x:v>
      </x:c>
      <x:c r="F688" s="12" t="str">
        <x:v>UI Pattern 적정성</x:v>
      </x:c>
      <x:c r="G688" s="12" t="str">
        <x:v>계층은 Tree/TreeGrid, 대량 목록은 server paging/virtual grid, 실행은 progress/target result/timeline, 정책은 desired/actual diff를 사용한다.</x:v>
      </x:c>
      <x:c r="H688" s="12" t="str">
        <x:v>기능별 UI pattern review와 사용자 업무 완료 E2E를 수행한다.</x:v>
      </x:c>
      <x:c r="I688" s="12" t="str">
        <x:v>UI architecture</x:v>
      </x:c>
      <x:c r="J688" s="12" t="str">
        <x:v>CPF-QA-D04-ACT-001</x:v>
      </x:c>
      <x:c r="K688" s="12" t="str">
        <x:v>기존 ADM/BZA Route·기능 접근</x:v>
      </x:c>
      <x:c r="L688" s="12" t="str">
        <x:v>Browser/Frontend</x:v>
      </x:c>
    </x:row>
    <x:row r="689">
      <x:c r="A689" s="12" t="str">
        <x:v>CPF-QA-D04-UIX-003</x:v>
      </x:c>
      <x:c r="B689" s="12" t="str">
        <x:v>UIX</x:v>
      </x:c>
      <x:c r="C689" s="12" t="str">
        <x:v>WP17</x:v>
      </x:c>
      <x:c r="D689" s="12" t="str">
        <x:v>부분 구현</x:v>
      </x:c>
      <x:c r="E689" s="12" t="str">
        <x:v>P0</x:v>
      </x:c>
      <x:c r="F689" s="12" t="str">
        <x:v>ADM Runtime 계층 Tree</x:v>
      </x:c>
      <x:c r="G689" s="12" t="str">
        <x:v>Environment→Platform/Cluster→Cell/Zone→Domain/System→Application Group→Runtime Role→Service→Instance 임의 깊이 Tree를 제공한다.</x:v>
      </x:c>
      <x:c r="H689" s="12" t="str">
        <x:v>5단계 이상, lazy loading, search auto-expand, breadcrumb, state aggregation, selection persistence를 검증한다.</x:v>
      </x:c>
      <x:c r="I689" s="12" t="str">
        <x:v>Runtime topology</x:v>
      </x:c>
      <x:c r="J689" s="12" t="str">
        <x:v>CPF-QA-D04-ACT-001</x:v>
      </x:c>
      <x:c r="K689" s="12" t="str">
        <x:v>기존 ADM/BZA Route·기능 접근</x:v>
      </x:c>
      <x:c r="L689" s="12" t="str">
        <x:v>Browser/Frontend</x:v>
      </x:c>
    </x:row>
    <x:row r="690">
      <x:c r="A690" s="12" t="str">
        <x:v>CPF-QA-D04-UIX-004</x:v>
      </x:c>
      <x:c r="B690" s="12" t="str">
        <x:v>UIX</x:v>
      </x:c>
      <x:c r="C690" s="12" t="str">
        <x:v>WP17</x:v>
      </x:c>
      <x:c r="D690" s="12" t="str">
        <x:v>부분 구현</x:v>
      </x:c>
      <x:c r="E690" s="12" t="str">
        <x:v>P0</x:v>
      </x:c>
      <x:c r="F690" s="12" t="str">
        <x:v>BZA 조직 재귀 Tree</x:v>
      </x:c>
      <x:c r="G690" s="12" t="str">
        <x:v>조직을 임의 깊이로 렌더링하고 검색, breadcrumb, 이동, 순환 방지, 삭제 영향, 직원/책임자 집계와 CAS를 제공한다.</x:v>
      </x:c>
      <x:c r="H690" s="12" t="str">
        <x:v>5단계 조직, cycle, missing parent, 이동 충돌, 대량 조직 성능을 검증한다.</x:v>
      </x:c>
      <x:c r="I690" s="12" t="str">
        <x:v>BZA organization</x:v>
      </x:c>
      <x:c r="J690" s="12" t="str">
        <x:v>CPF-QA-D04-ACT-001</x:v>
      </x:c>
      <x:c r="K690" s="12" t="str">
        <x:v>기존 ADM/BZA Route·기능 접근</x:v>
      </x:c>
      <x:c r="L690" s="12" t="str">
        <x:v>Browser/Frontend</x:v>
      </x:c>
    </x:row>
    <x:row r="691">
      <x:c r="A691" s="12" t="str">
        <x:v>CPF-QA-D04-UIX-005</x:v>
      </x:c>
      <x:c r="B691" s="12" t="str">
        <x:v>UIX</x:v>
      </x:c>
      <x:c r="C691" s="12" t="str">
        <x:v>WP17</x:v>
      </x:c>
      <x:c r="D691" s="12" t="str">
        <x:v>부분 구현</x:v>
      </x:c>
      <x:c r="E691" s="12" t="str">
        <x:v>P0</x:v>
      </x:c>
      <x:c r="F691" s="12" t="str">
        <x:v>BZA 메뉴·권한 Tree</x:v>
      </x:c>
      <x:c r="G691" s="12" t="str">
        <x:v>Menu Group→Menu→Submenu→Screen/Button/API/Data Scope 계층과 상속·Deny·Effective Permission을 시각화한다.</x:v>
      </x:c>
      <x:c r="H691" s="12" t="str">
        <x:v>Route/API parity, role compare, user simulation, before/after diff를 Browser로 검증한다.</x:v>
      </x:c>
      <x:c r="I691" s="12" t="str">
        <x:v>BZA authorization</x:v>
      </x:c>
      <x:c r="J691" s="12" t="str">
        <x:v>CPF-QA-D04-ACT-001</x:v>
      </x:c>
      <x:c r="K691" s="12" t="str">
        <x:v>기존 ADM/BZA Route·기능 접근</x:v>
      </x:c>
      <x:c r="L691" s="12" t="str">
        <x:v>Browser/Frontend</x:v>
      </x:c>
    </x:row>
    <x:row r="692">
      <x:c r="A692" s="12" t="str">
        <x:v>CPF-QA-D04-UIX-006</x:v>
      </x:c>
      <x:c r="B692" s="12" t="str">
        <x:v>UIX</x:v>
      </x:c>
      <x:c r="C692" s="12" t="str">
        <x:v>WP17</x:v>
      </x:c>
      <x:c r="D692" s="12" t="str">
        <x:v>재확인 필요</x:v>
      </x:c>
      <x:c r="E692" s="12" t="str">
        <x:v>P0</x:v>
      </x:c>
      <x:c r="F692" s="12" t="str">
        <x:v>ADM Service Registry 운영 UI</x:v>
      </x:c>
      <x:c r="G692" s="12" t="str">
        <x:v>조회뿐 아니라 Owner Command, lifecycle, group membership, health/routing 변경, CAS, 승인, 감사와 결과를 제공한다.</x:v>
      </x:c>
      <x:c r="H692" s="12" t="str">
        <x:v>등록/수정/비활성/drain/rollback을 권한별 E2E로 검증한다.</x:v>
      </x:c>
      <x:c r="I692" s="12" t="str">
        <x:v>ADM service registry</x:v>
      </x:c>
      <x:c r="J692" s="12" t="str">
        <x:v>CPF-QA-D04-ACT-001</x:v>
      </x:c>
      <x:c r="K692" s="12" t="str">
        <x:v>기존 ADM/BZA Route·기능 접근</x:v>
      </x:c>
      <x:c r="L692" s="12" t="str">
        <x:v>Browser/Frontend</x:v>
      </x:c>
    </x:row>
    <x:row r="693">
      <x:c r="A693" s="12" t="str">
        <x:v>CPF-QA-D04-UIX-007</x:v>
      </x:c>
      <x:c r="B693" s="12" t="str">
        <x:v>UIX</x:v>
      </x:c>
      <x:c r="C693" s="12" t="str">
        <x:v>WP17</x:v>
      </x:c>
      <x:c r="D693" s="12" t="str">
        <x:v>부분 구현</x:v>
      </x:c>
      <x:c r="E693" s="12" t="str">
        <x:v>P0</x:v>
      </x:c>
      <x:c r="F693" s="12" t="str">
        <x:v>ADM Batch Runtime Tree·Control</x:v>
      </x:c>
      <x:c r="G693" s="12" t="str">
        <x:v>Scheduler/Worker/Runner/Agent와 Job/Step/Partition을 계층적으로 조회하고 실행·복구 Command를 연결한다.</x:v>
      </x:c>
      <x:c r="H693" s="12" t="str">
        <x:v>multi-worker, ghost, lease, target preview, partial failure UI를 검증한다.</x:v>
      </x:c>
      <x:c r="I693" s="12" t="str">
        <x:v>ADM batch</x:v>
      </x:c>
      <x:c r="J693" s="12" t="str">
        <x:v>CPF-QA-D04-ACT-001</x:v>
      </x:c>
      <x:c r="K693" s="12" t="str">
        <x:v>기존 ADM/BZA Route·기능 접근</x:v>
      </x:c>
      <x:c r="L693" s="12" t="str">
        <x:v>Browser/Frontend</x:v>
      </x:c>
    </x:row>
    <x:row r="694">
      <x:c r="A694" s="12" t="str">
        <x:v>CPF-QA-D04-UIX-008</x:v>
      </x:c>
      <x:c r="B694" s="12" t="str">
        <x:v>UIX</x:v>
      </x:c>
      <x:c r="C694" s="12" t="str">
        <x:v>WP17</x:v>
      </x:c>
      <x:c r="D694" s="12" t="str">
        <x:v>부분 구현</x:v>
      </x:c>
      <x:c r="E694" s="12" t="str">
        <x:v>P0</x:v>
      </x:c>
      <x:c r="F694" s="12" t="str">
        <x:v>Raw JSON 기본 화면 제거</x:v>
      </x:c>
      <x:c r="G694" s="12" t="str">
        <x:v>pretty/JSON.stringify/&lt;pre&gt;는 개발자 진단 Tab으로 제한하고 Summary, Diff, Timeline, Error Detail, Target Result Component로 대체한다.</x:v>
      </x:c>
      <x:c r="H694" s="12" t="str">
        <x:v>운영 주요 화면 Raw JSON 기본 출력 0건과 접근권한을 검증한다.</x:v>
      </x:c>
      <x:c r="I694" s="12" t="str">
        <x:v>Frontend source</x:v>
      </x:c>
      <x:c r="J694" s="12" t="str">
        <x:v>CPF-QA-D04-ACT-001</x:v>
      </x:c>
      <x:c r="K694" s="12" t="str">
        <x:v>기존 ADM/BZA Route·기능 접근</x:v>
      </x:c>
      <x:c r="L694" s="12" t="str">
        <x:v>Browser/Frontend</x:v>
      </x:c>
    </x:row>
    <x:row r="695">
      <x:c r="A695" s="12" t="str">
        <x:v>CPF-QA-D04-UIX-009</x:v>
      </x:c>
      <x:c r="B695" s="12" t="str">
        <x:v>UIX</x:v>
      </x:c>
      <x:c r="C695" s="12" t="str">
        <x:v>WP17</x:v>
      </x:c>
      <x:c r="D695" s="12" t="str">
        <x:v>부분 구현</x:v>
      </x:c>
      <x:c r="E695" s="12" t="str">
        <x:v>P0</x:v>
      </x:c>
      <x:c r="F695" s="12" t="str">
        <x:v>업무 흐름 연속성</x:v>
      </x:c>
      <x:c r="G695" s="12" t="str">
        <x:v>조회→선택→상세→Preview→권한/승인→실행→진행→결과→복구→감사 흐름이 화면 이동 없이 추적 가능해야 한다.</x:v>
      </x:c>
      <x:c r="H695" s="12" t="str">
        <x:v>중간 새로고침·재로그인·재기동 후 operation을 다시 찾아 후속조치하는 E2E를 수행한다.</x:v>
      </x:c>
      <x:c r="I695" s="12" t="str">
        <x:v>Operation UX</x:v>
      </x:c>
      <x:c r="J695" s="12" t="str">
        <x:v>CPF-QA-D04-ACT-001</x:v>
      </x:c>
      <x:c r="K695" s="12" t="str">
        <x:v>기존 ADM/BZA Route·기능 접근</x:v>
      </x:c>
      <x:c r="L695" s="12" t="str">
        <x:v>Browser/Frontend</x:v>
      </x:c>
    </x:row>
    <x:row r="696">
      <x:c r="A696" s="12" t="str">
        <x:v>CPF-QA-D04-UIX-010</x:v>
      </x:c>
      <x:c r="B696" s="12" t="str">
        <x:v>UIX</x:v>
      </x:c>
      <x:c r="C696" s="12" t="str">
        <x:v>WP17</x:v>
      </x:c>
      <x:c r="D696" s="12" t="str">
        <x:v>부분 구현</x:v>
      </x:c>
      <x:c r="E696" s="12" t="str">
        <x:v>P0</x:v>
      </x:c>
      <x:c r="F696" s="12" t="str">
        <x:v>부분 실패 UX</x:v>
      </x:c>
      <x:c r="G696" s="12" t="str">
        <x:v>전체 집계와 대상별 성공/실패/미응답/결과불명, 실패 단계, 권장 조치, retry/rollback/reconcile을 제공한다.</x:v>
      </x:c>
      <x:c r="H696" s="12" t="str">
        <x:v>부분 실패 1건, 다수 실패, unknown result에서 운영자가 조치 가능한지 검증한다.</x:v>
      </x:c>
      <x:c r="I696" s="12" t="str">
        <x:v>Failure UX</x:v>
      </x:c>
      <x:c r="J696" s="12" t="str">
        <x:v>CPF-QA-D04-ACT-001</x:v>
      </x:c>
      <x:c r="K696" s="12" t="str">
        <x:v>기존 ADM/BZA Route·기능 접근</x:v>
      </x:c>
      <x:c r="L696" s="12" t="str">
        <x:v>Browser/Frontend</x:v>
      </x:c>
    </x:row>
    <x:row r="697">
      <x:c r="A697" s="12" t="str">
        <x:v>CPF-QA-D04-UIX-011</x:v>
      </x:c>
      <x:c r="B697" s="12" t="str">
        <x:v>UIX</x:v>
      </x:c>
      <x:c r="C697" s="12" t="str">
        <x:v>WP17</x:v>
      </x:c>
      <x:c r="D697" s="12" t="str">
        <x:v>재확인 필요</x:v>
      </x:c>
      <x:c r="E697" s="12" t="str">
        <x:v>P0</x:v>
      </x:c>
      <x:c r="F697" s="12" t="str">
        <x:v>오류·민감정보 UX</x:v>
      </x:c>
      <x:c r="G697" s="12" t="str">
        <x:v>Stack Trace와 Secret/PII 원문을 노출하지 않고 사용자 메시지, errorCode, correlationId, 권장 조치를 제공한다.</x:v>
      </x:c>
      <x:c r="H697" s="12" t="str">
        <x:v>Backend exception, validation, 403, 409, 429, 503 화면과 masking을 검증한다.</x:v>
      </x:c>
      <x:c r="I697" s="12" t="str">
        <x:v>Error UX</x:v>
      </x:c>
      <x:c r="J697" s="12" t="str">
        <x:v>CPF-QA-D04-ACT-001</x:v>
      </x:c>
      <x:c r="K697" s="12" t="str">
        <x:v>기존 ADM/BZA Route·기능 접근</x:v>
      </x:c>
      <x:c r="L697" s="12" t="str">
        <x:v>Browser/Frontend</x:v>
      </x:c>
    </x:row>
    <x:row r="698">
      <x:c r="A698" s="12" t="str">
        <x:v>CPF-QA-D04-UIX-012</x:v>
      </x:c>
      <x:c r="B698" s="12" t="str">
        <x:v>UIX</x:v>
      </x:c>
      <x:c r="C698" s="12" t="str">
        <x:v>WP17</x:v>
      </x:c>
      <x:c r="D698" s="12" t="str">
        <x:v>재확인 필요</x:v>
      </x:c>
      <x:c r="E698" s="12" t="str">
        <x:v>P0</x:v>
      </x:c>
      <x:c r="F698" s="12" t="str">
        <x:v>Server Paging·Filter·Sort</x:v>
      </x:c>
      <x:c r="G698" s="12" t="str">
        <x:v>대량 목록은 DB/server paging, stable sort, 검색조건 보존, total/cursor 정책을 제공한다.</x:v>
      </x:c>
      <x:c r="H698" s="12" t="str">
        <x:v>10만 건에서 첫 페이지만 조회, N+1, 브라우저 freeze, 조건 다운로드 일치를 검증한다.</x:v>
      </x:c>
      <x:c r="I698" s="12" t="str">
        <x:v>Large data</x:v>
      </x:c>
      <x:c r="J698" s="12" t="str">
        <x:v>CPF-QA-D04-ACT-001</x:v>
      </x:c>
      <x:c r="K698" s="12" t="str">
        <x:v>기존 ADM/BZA Route·기능 접근</x:v>
      </x:c>
      <x:c r="L698" s="12" t="str">
        <x:v>Browser/Frontend</x:v>
      </x:c>
    </x:row>
    <x:row r="699">
      <x:c r="A699" s="12" t="str">
        <x:v>CPF-QA-D04-UIX-013</x:v>
      </x:c>
      <x:c r="B699" s="12" t="str">
        <x:v>UIX</x:v>
      </x:c>
      <x:c r="C699" s="12" t="str">
        <x:v>WP17</x:v>
      </x:c>
      <x:c r="D699" s="12" t="str">
        <x:v>재확인 필요</x:v>
      </x:c>
      <x:c r="E699" s="12" t="str">
        <x:v>P0</x:v>
      </x:c>
      <x:c r="F699" s="12" t="str">
        <x:v>Virtual Scroll·Lazy Loading</x:v>
      </x:c>
      <x:c r="G699" s="12" t="str">
        <x:v>대규모 Tree와 Grid는 lazy loading과 virtual scroll을 사용하고 상위 집계를 정확히 유지한다.</x:v>
      </x:c>
      <x:c r="H699" s="12" t="str">
        <x:v>1만 node/10만 row에서 메모리·응답·스크롤 상태를 검증한다.</x:v>
      </x:c>
      <x:c r="I699" s="12" t="str">
        <x:v>Performance</x:v>
      </x:c>
      <x:c r="J699" s="12" t="str">
        <x:v>CPF-QA-D04-ACT-001</x:v>
      </x:c>
      <x:c r="K699" s="12" t="str">
        <x:v>기존 ADM/BZA Route·기능 접근</x:v>
      </x:c>
      <x:c r="L699" s="12" t="str">
        <x:v>Browser/Frontend</x:v>
      </x:c>
    </x:row>
    <x:row r="700">
      <x:c r="A700" s="12" t="str">
        <x:v>CPF-QA-D04-UIX-014</x:v>
      </x:c>
      <x:c r="B700" s="12" t="str">
        <x:v>UIX</x:v>
      </x:c>
      <x:c r="C700" s="12" t="str">
        <x:v>WP17</x:v>
      </x:c>
      <x:c r="D700" s="12" t="str">
        <x:v>재확인 필요</x:v>
      </x:c>
      <x:c r="E700" s="12" t="str">
        <x:v>P0</x:v>
      </x:c>
      <x:c r="F700" s="12" t="str">
        <x:v>Detail Drawer·History</x:v>
      </x:c>
      <x:c r="G700" s="12" t="str">
        <x:v>목록 선택 시 상세, 관련 이력, audit, trace, linked resources를 Drawer/Detail로 제공한다.</x:v>
      </x:c>
      <x:c r="H700" s="12" t="str">
        <x:v>직접 URL, 권한 제한, 새로고침 상태 복원을 검증한다.</x:v>
      </x:c>
      <x:c r="I700" s="12" t="str">
        <x:v>Detail UX</x:v>
      </x:c>
      <x:c r="J700" s="12" t="str">
        <x:v>CPF-QA-D04-ACT-001</x:v>
      </x:c>
      <x:c r="K700" s="12" t="str">
        <x:v>기존 ADM/BZA Route·기능 접근</x:v>
      </x:c>
      <x:c r="L700" s="12" t="str">
        <x:v>Browser/Frontend</x:v>
      </x:c>
    </x:row>
    <x:row r="701">
      <x:c r="A701" s="12" t="str">
        <x:v>CPF-QA-D04-UIX-015</x:v>
      </x:c>
      <x:c r="B701" s="12" t="str">
        <x:v>UIX</x:v>
      </x:c>
      <x:c r="C701" s="12" t="str">
        <x:v>WP17</x:v>
      </x:c>
      <x:c r="D701" s="12" t="str">
        <x:v>재확인 필요</x:v>
      </x:c>
      <x:c r="E701" s="12" t="str">
        <x:v>P0</x:v>
      </x:c>
      <x:c r="F701" s="12" t="str">
        <x:v>Approval UI</x:v>
      </x:c>
      <x:c r="G701" s="12" t="str">
        <x:v>승인 필요 여부, 승인선, quorum, expiry, self-approval 금지, break-glass TTL과 상태를 명확히 표시한다.</x:v>
      </x:c>
      <x:c r="H701" s="12" t="str">
        <x:v>승인 대기/만료/반려/취소/재사용/대상 변경을 검증한다.</x:v>
      </x:c>
      <x:c r="I701" s="12" t="str">
        <x:v>Approval</x:v>
      </x:c>
      <x:c r="J701" s="12" t="str">
        <x:v>CPF-QA-D04-ACT-001</x:v>
      </x:c>
      <x:c r="K701" s="12" t="str">
        <x:v>기존 ADM/BZA Route·기능 접근</x:v>
      </x:c>
      <x:c r="L701" s="12" t="str">
        <x:v>Browser/Frontend</x:v>
      </x:c>
    </x:row>
    <x:row r="702">
      <x:c r="A702" s="12" t="str">
        <x:v>CPF-QA-D04-UIX-016</x:v>
      </x:c>
      <x:c r="B702" s="12" t="str">
        <x:v>UIX</x:v>
      </x:c>
      <x:c r="C702" s="12" t="str">
        <x:v>WP17</x:v>
      </x:c>
      <x:c r="D702" s="12" t="str">
        <x:v>부분 구현</x:v>
      </x:c>
      <x:c r="E702" s="12" t="str">
        <x:v>P0</x:v>
      </x:c>
      <x:c r="F702" s="12" t="str">
        <x:v>Desired·Actual Diff Viewer</x:v>
      </x:c>
      <x:c r="G702" s="12" t="str">
        <x:v>현재값, 요청값, effective desired, actual, drift와 rollback 가능성을 필드 단위로 비교한다.</x:v>
      </x:c>
      <x:c r="H702" s="12" t="str">
        <x:v>대규모 JSON/정책 Diff, masking, schema 변경과 version 충돌을 검증한다.</x:v>
      </x:c>
      <x:c r="I702" s="12" t="str">
        <x:v>Diff UI</x:v>
      </x:c>
      <x:c r="J702" s="12" t="str">
        <x:v>CPF-QA-D04-ACT-001</x:v>
      </x:c>
      <x:c r="K702" s="12" t="str">
        <x:v>기존 ADM/BZA Route·기능 접근</x:v>
      </x:c>
      <x:c r="L702" s="12" t="str">
        <x:v>Browser/Frontend</x:v>
      </x:c>
    </x:row>
    <x:row r="703">
      <x:c r="A703" s="12" t="str">
        <x:v>CPF-QA-D04-UIX-017</x:v>
      </x:c>
      <x:c r="B703" s="12" t="str">
        <x:v>UIX</x:v>
      </x:c>
      <x:c r="C703" s="12" t="str">
        <x:v>WP17</x:v>
      </x:c>
      <x:c r="D703" s="12" t="str">
        <x:v>부분 구현</x:v>
      </x:c>
      <x:c r="E703" s="12" t="str">
        <x:v>P0</x:v>
      </x:c>
      <x:c r="F703" s="12" t="str">
        <x:v>Attempt Timeline</x:v>
      </x:c>
      <x:c r="G703" s="12" t="str">
        <x:v>최초 요청부터 delivery, ack, retry, rollback, reconcile, operator action을 불변 Timeline으로 제공한다.</x:v>
      </x:c>
      <x:c r="H703" s="12" t="str">
        <x:v>retry 성공 후 최초 실패가 보존되는지 검증한다.</x:v>
      </x:c>
      <x:c r="I703" s="12" t="str">
        <x:v>History</x:v>
      </x:c>
      <x:c r="J703" s="12" t="str">
        <x:v>CPF-QA-D04-ACT-001</x:v>
      </x:c>
      <x:c r="K703" s="12" t="str">
        <x:v>기존 ADM/BZA Route·기능 접근</x:v>
      </x:c>
      <x:c r="L703" s="12" t="str">
        <x:v>Browser/Frontend</x:v>
      </x:c>
    </x:row>
    <x:row r="704">
      <x:c r="A704" s="12" t="str">
        <x:v>CPF-QA-D04-UIX-018</x:v>
      </x:c>
      <x:c r="B704" s="12" t="str">
        <x:v>UIX</x:v>
      </x:c>
      <x:c r="C704" s="12" t="str">
        <x:v>WP17</x:v>
      </x:c>
      <x:c r="D704" s="12" t="str">
        <x:v>재확인 필요</x:v>
      </x:c>
      <x:c r="E704" s="12" t="str">
        <x:v>P0</x:v>
      </x:c>
      <x:c r="F704" s="12" t="str">
        <x:v>Menu·Route·API parity Gate</x:v>
      </x:c>
      <x:c r="G704" s="12" t="str">
        <x:v>Frontend route, menu seed, permission manifest, backend endpoint와 HTTP method가 단일 버전 계약으로 일치해야 한다.</x:v>
      </x:c>
      <x:c r="H704" s="12" t="str">
        <x:v>고아/중복/경로 encoding/method mismatch를 CI에서 검증한다.</x:v>
      </x:c>
      <x:c r="I704" s="12" t="str">
        <x:v>Parity</x:v>
      </x:c>
      <x:c r="J704" s="12" t="str">
        <x:v>CPF-QA-D04-ACT-001</x:v>
      </x:c>
      <x:c r="K704" s="12" t="str">
        <x:v>기존 ADM/BZA Route·기능 접근</x:v>
      </x:c>
      <x:c r="L704" s="12" t="str">
        <x:v>Browser/Frontend</x:v>
      </x:c>
    </x:row>
    <x:row r="705">
      <x:c r="A705" s="12" t="str">
        <x:v>CPF-QA-D04-UIX-019</x:v>
      </x:c>
      <x:c r="B705" s="12" t="str">
        <x:v>UIX</x:v>
      </x:c>
      <x:c r="C705" s="12" t="str">
        <x:v>WP17</x:v>
      </x:c>
      <x:c r="D705" s="12" t="str">
        <x:v>재확인 필요</x:v>
      </x:c>
      <x:c r="E705" s="12" t="str">
        <x:v>P1</x:v>
      </x:c>
      <x:c r="F705" s="12" t="str">
        <x:v>검색·필터 상태 보존</x:v>
      </x:c>
      <x:c r="G705" s="12" t="str">
        <x:v>화면 이동, 상세 열기, 새로고침 후 검색·정렬·paging·tree expand 상태를 합리적으로 보존한다.</x:v>
      </x:c>
      <x:c r="H705" s="12" t="str">
        <x:v>back/forward, session expiry, deep link를 검증한다.</x:v>
      </x:c>
      <x:c r="I705" s="12" t="str">
        <x:v>Usability</x:v>
      </x:c>
      <x:c r="J705" s="12" t="str">
        <x:v>CPF-QA-D04-ACT-001</x:v>
      </x:c>
      <x:c r="K705" s="12" t="str">
        <x:v>기존 ADM/BZA Route·기능 접근</x:v>
      </x:c>
      <x:c r="L705" s="12" t="str">
        <x:v>Browser/Frontend</x:v>
      </x:c>
    </x:row>
    <x:row r="706">
      <x:c r="A706" s="12" t="str">
        <x:v>CPF-QA-D04-UIX-020</x:v>
      </x:c>
      <x:c r="B706" s="12" t="str">
        <x:v>UIX</x:v>
      </x:c>
      <x:c r="C706" s="12" t="str">
        <x:v>WP17</x:v>
      </x:c>
      <x:c r="D706" s="12" t="str">
        <x:v>재확인 필요</x:v>
      </x:c>
      <x:c r="E706" s="12" t="str">
        <x:v>P1</x:v>
      </x:c>
      <x:c r="F706" s="12" t="str">
        <x:v>접근성</x:v>
      </x:c>
      <x:c r="G706" s="12" t="str">
        <x:v>키보드 탐색, focus, aria, label, contrast, screen reader, error announcement를 제공한다.</x:v>
      </x:c>
      <x:c r="H706" s="12" t="str">
        <x:v>WCAG 기반 자동검사와 수동 keyboard E2E를 수행한다.</x:v>
      </x:c>
      <x:c r="I706" s="12" t="str">
        <x:v>Accessibility</x:v>
      </x:c>
      <x:c r="J706" s="12" t="str">
        <x:v>CPF-QA-D04-ACT-001</x:v>
      </x:c>
      <x:c r="K706" s="12" t="str">
        <x:v>기존 ADM/BZA Route·기능 접근</x:v>
      </x:c>
      <x:c r="L706" s="12" t="str">
        <x:v>Browser/Frontend</x:v>
      </x:c>
    </x:row>
    <x:row r="707">
      <x:c r="A707" s="12" t="str">
        <x:v>CPF-QA-D04-UIX-021</x:v>
      </x:c>
      <x:c r="B707" s="12" t="str">
        <x:v>UIX</x:v>
      </x:c>
      <x:c r="C707" s="12" t="str">
        <x:v>WP17</x:v>
      </x:c>
      <x:c r="D707" s="12" t="str">
        <x:v>재확인 필요</x:v>
      </x:c>
      <x:c r="E707" s="12" t="str">
        <x:v>P1</x:v>
      </x:c>
      <x:c r="F707" s="12" t="str">
        <x:v>반응형·저해상도</x:v>
      </x:c>
      <x:c r="G707" s="12" t="str">
        <x:v>노트북·태블릿 해상도에서도 위험 조치와 결과가 가려지지 않고 Table overflow가 제어돼야 한다.</x:v>
      </x:c>
      <x:c r="H707" s="12" t="str">
        <x:v>다중 viewport screenshot 및 조작 E2E를 수행한다.</x:v>
      </x:c>
      <x:c r="I707" s="12" t="str">
        <x:v>Responsive</x:v>
      </x:c>
      <x:c r="J707" s="12" t="str">
        <x:v>CPF-QA-D04-ACT-001</x:v>
      </x:c>
      <x:c r="K707" s="12" t="str">
        <x:v>기존 ADM/BZA Route·기능 접근</x:v>
      </x:c>
      <x:c r="L707" s="12" t="str">
        <x:v>Browser/Frontend</x:v>
      </x:c>
    </x:row>
    <x:row r="708">
      <x:c r="A708" s="12" t="str">
        <x:v>CPF-QA-D04-UIX-022</x:v>
      </x:c>
      <x:c r="B708" s="12" t="str">
        <x:v>UIX</x:v>
      </x:c>
      <x:c r="C708" s="12" t="str">
        <x:v>WP17</x:v>
      </x:c>
      <x:c r="D708" s="12" t="str">
        <x:v>재확인 필요</x:v>
      </x:c>
      <x:c r="E708" s="12" t="str">
        <x:v>P1</x:v>
      </x:c>
      <x:c r="F708" s="12" t="str">
        <x:v>Design System·공통 Component</x:v>
      </x:c>
      <x:c r="G708" s="12" t="str">
        <x:v>Tree, Grid, Upload, Download Job, Result, Timeline, Diff, Approval, Error Component를 공통화한다.</x:v>
      </x:c>
      <x:c r="H708" s="12" t="str">
        <x:v>중복 구현, 기능별 상이한 오류/권한 UX와 bundle size를 검증한다.</x:v>
      </x:c>
      <x:c r="I708" s="12" t="str">
        <x:v>Frontend architecture</x:v>
      </x:c>
      <x:c r="J708" s="12" t="str">
        <x:v>CPF-QA-D04-ACT-001</x:v>
      </x:c>
      <x:c r="K708" s="12" t="str">
        <x:v>기존 ADM/BZA Route·기능 접근</x:v>
      </x:c>
      <x:c r="L708" s="12" t="str">
        <x:v>Browser/Frontend</x:v>
      </x:c>
    </x:row>
    <x:row r="709">
      <x:c r="A709" s="12" t="str">
        <x:v>CPF-QA-D04-UIX-023</x:v>
      </x:c>
      <x:c r="B709" s="12" t="str">
        <x:v>UIX</x:v>
      </x:c>
      <x:c r="C709" s="12" t="str">
        <x:v>WP17</x:v>
      </x:c>
      <x:c r="D709" s="12" t="str">
        <x:v>재확인 필요</x:v>
      </x:c>
      <x:c r="E709" s="12" t="str">
        <x:v>P1</x:v>
      </x:c>
      <x:c r="F709" s="12" t="str">
        <x:v>외부 CDN·Font·Script 금지</x:v>
      </x:c>
      <x:c r="G709" s="12" t="str">
        <x:v>운영 Frontend는 Runtime 외부 CDN/Font/Script에 의존하지 않고 포함 OSS License를 관리한다.</x:v>
      </x:c>
      <x:c r="H709" s="12" t="str">
        <x:v>offline build/runtime, CSP, SBOM과 network request를 검증한다.</x:v>
      </x:c>
      <x:c r="I709" s="12" t="str">
        <x:v>Supply chain</x:v>
      </x:c>
      <x:c r="J709" s="12" t="str">
        <x:v>CPF-QA-D04-ACT-001</x:v>
      </x:c>
      <x:c r="K709" s="12" t="str">
        <x:v>기존 ADM/BZA Route·기능 접근</x:v>
      </x:c>
      <x:c r="L709" s="12" t="str">
        <x:v>Browser/Frontend</x:v>
      </x:c>
    </x:row>
    <x:row r="710">
      <x:c r="A710" s="12" t="str">
        <x:v>CPF-QA-D04-UIX-024</x:v>
      </x:c>
      <x:c r="B710" s="12" t="str">
        <x:v>UIX</x:v>
      </x:c>
      <x:c r="C710" s="12" t="str">
        <x:v>WP17</x:v>
      </x:c>
      <x:c r="D710" s="12" t="str">
        <x:v>재확인 필요</x:v>
      </x:c>
      <x:c r="E710" s="12" t="str">
        <x:v>P1</x:v>
      </x:c>
      <x:c r="F710" s="12" t="str">
        <x:v>Browser E2E 권한 Matrix</x:v>
      </x:c>
      <x:c r="G710" s="12" t="str">
        <x:v>최고관리자, 조회전용, 일반운영자, 승인자, 민감권한, 무권한, 타도메인/타조직 사용자를 검증한다.</x:v>
      </x:c>
      <x:c r="H710" s="12" t="str">
        <x:v>Menu/Button/API 직접호출과 결과 화면까지 역할별로 실행한다.</x:v>
      </x:c>
      <x:c r="I710" s="12" t="str">
        <x:v>Browser test</x:v>
      </x:c>
      <x:c r="J710" s="12" t="str">
        <x:v>CPF-QA-D04-ACT-001</x:v>
      </x:c>
      <x:c r="K710" s="12" t="str">
        <x:v>기존 ADM/BZA Route·기능 접근</x:v>
      </x:c>
      <x:c r="L710" s="12" t="str">
        <x:v>Browser/Frontend</x:v>
      </x:c>
    </x:row>
    <x:row r="711">
      <x:c r="A711" s="12" t="str">
        <x:v>CPF-QA-D04-ACT-001</x:v>
      </x:c>
      <x:c r="B711" s="12" t="str">
        <x:v>ACT</x:v>
      </x:c>
      <x:c r="C711" s="12" t="str">
        <x:v>WP18</x:v>
      </x:c>
      <x:c r="D711" s="12" t="str">
        <x:v>재확인 필요</x:v>
      </x:c>
      <x:c r="E711" s="12" t="str">
        <x:v>P0</x:v>
      </x:c>
      <x:c r="F711" s="12" t="str">
        <x:v>Button Action Permission Manifest</x:v>
      </x:c>
      <x:c r="G711" s="12" t="str">
        <x:v>Menu/Screen/Action/API/HTTP Method/Resource/Data/Environment/Domain/Organization Scope를 단일 versioned manifest로 관리한다.</x:v>
      </x:c>
      <x:c r="H711" s="12" t="str">
        <x:v>Frontend·Backend·DB seed·OpenAPI parity와 hash를 검증한다.</x:v>
      </x:c>
      <x:c r="I711" s="12" t="str">
        <x:v>ADM/BZA/backend permission</x:v>
      </x:c>
      <x:c r="J711" s="12" t="str"/>
      <x:c r="K711" s="12" t="str">
        <x:v>기존 로그인·세션·메뉴 접근</x:v>
      </x:c>
      <x:c r="L711" s="12" t="str">
        <x:v>Security/Browser/API/Multi-instance</x:v>
      </x:c>
    </x:row>
    <x:row r="712">
      <x:c r="A712" s="12" t="str">
        <x:v>CPF-QA-D04-ACT-002</x:v>
      </x:c>
      <x:c r="B712" s="12" t="str">
        <x:v>ACT</x:v>
      </x:c>
      <x:c r="C712" s="12" t="str">
        <x:v>WP18</x:v>
      </x:c>
      <x:c r="D712" s="12" t="str">
        <x:v>재확인 필요</x:v>
      </x:c>
      <x:c r="E712" s="12" t="str">
        <x:v>P0</x:v>
      </x:c>
      <x:c r="F712" s="12" t="str">
        <x:v>Generic WRITE 권한 분해</x:v>
      </x:c>
      <x:c r="G712" s="12" t="str">
        <x:v>WRITE 하나로 저장·비활성·테스트·retry·cancel·rollback·download를 허용하지 않고 독립 Action Code로 분리한다.</x:v>
      </x:c>
      <x:c r="H712" s="12" t="str">
        <x:v>각 Action 허용/거부 조합을 Browser와 직접 API로 검증한다.</x:v>
      </x:c>
      <x:c r="I712" s="12" t="str">
        <x:v>ADM/BZA/backend permission</x:v>
      </x:c>
      <x:c r="J712" s="12" t="str"/>
      <x:c r="K712" s="12" t="str">
        <x:v>기존 로그인·세션·메뉴 접근</x:v>
      </x:c>
      <x:c r="L712" s="12" t="str">
        <x:v>Security/Browser/API/Multi-instance</x:v>
      </x:c>
    </x:row>
    <x:row r="713">
      <x:c r="A713" s="12" t="str">
        <x:v>CPF-QA-D04-ACT-003</x:v>
      </x:c>
      <x:c r="B713" s="12" t="str">
        <x:v>ACT</x:v>
      </x:c>
      <x:c r="C713" s="12" t="str">
        <x:v>WP18</x:v>
      </x:c>
      <x:c r="D713" s="12" t="str">
        <x:v>재확인 필요</x:v>
      </x:c>
      <x:c r="E713" s="12" t="str">
        <x:v>P0</x:v>
      </x:c>
      <x:c r="F713" s="12" t="str">
        <x:v>조회·상세 권한 분리</x:v>
      </x:c>
      <x:c r="G713" s="12" t="str">
        <x:v>목록 조회와 민감 상세·원문 조회 권한을 분리하고 summary masking을 적용한다.</x:v>
      </x:c>
      <x:c r="H713" s="12" t="str">
        <x:v>조회 전용 사용자의 상세/원문 direct API 접근을 403으로 검증한다.</x:v>
      </x:c>
      <x:c r="I713" s="12" t="str">
        <x:v>ADM/BZA/backend permission</x:v>
      </x:c>
      <x:c r="J713" s="12" t="str"/>
      <x:c r="K713" s="12" t="str">
        <x:v>기존 로그인·세션·메뉴 접근</x:v>
      </x:c>
      <x:c r="L713" s="12" t="str">
        <x:v>Security/Browser/API/Multi-instance</x:v>
      </x:c>
    </x:row>
    <x:row r="714">
      <x:c r="A714" s="12" t="str">
        <x:v>CPF-QA-D04-ACT-004</x:v>
      </x:c>
      <x:c r="B714" s="12" t="str">
        <x:v>ACT</x:v>
      </x:c>
      <x:c r="C714" s="12" t="str">
        <x:v>WP18</x:v>
      </x:c>
      <x:c r="D714" s="12" t="str">
        <x:v>재확인 필요</x:v>
      </x:c>
      <x:c r="E714" s="12" t="str">
        <x:v>P0</x:v>
      </x:c>
      <x:c r="F714" s="12" t="str">
        <x:v>생성·수정·삭제 권한</x:v>
      </x:c>
      <x:c r="G714" s="12" t="str">
        <x:v>CREATE/UPDATE/DELETE/ENABLE/DISABLE을 분리하고 logical delete/restore 정책을 포함한다.</x:v>
      </x:c>
      <x:c r="H714" s="12" t="str">
        <x:v>각 HTTP method와 direct URL 우회를 검증한다.</x:v>
      </x:c>
      <x:c r="I714" s="12" t="str">
        <x:v>ADM/BZA/backend permission</x:v>
      </x:c>
      <x:c r="J714" s="12" t="str"/>
      <x:c r="K714" s="12" t="str">
        <x:v>기존 로그인·세션·메뉴 접근</x:v>
      </x:c>
      <x:c r="L714" s="12" t="str">
        <x:v>Security/Browser/API/Multi-instance</x:v>
      </x:c>
    </x:row>
    <x:row r="715">
      <x:c r="A715" s="12" t="str">
        <x:v>CPF-QA-D04-ACT-005</x:v>
      </x:c>
      <x:c r="B715" s="12" t="str">
        <x:v>ACT</x:v>
      </x:c>
      <x:c r="C715" s="12" t="str">
        <x:v>WP18</x:v>
      </x:c>
      <x:c r="D715" s="12" t="str">
        <x:v>재확인 필요</x:v>
      </x:c>
      <x:c r="E715" s="12" t="str">
        <x:v>P0</x:v>
      </x:c>
      <x:c r="F715" s="12" t="str">
        <x:v>운영 실행 권한</x:v>
      </x:c>
      <x:c r="G715" s="12" t="str">
        <x:v>EXECUTE/STOP/PAUSE/RESUME/CANCEL/RETRY를 독립 권한으로 관리한다.</x:v>
      </x:c>
      <x:c r="H715" s="12" t="str">
        <x:v>Batch/Runtime/Notification 조치별 negative test를 수행한다.</x:v>
      </x:c>
      <x:c r="I715" s="12" t="str">
        <x:v>ADM/BZA/backend permission</x:v>
      </x:c>
      <x:c r="J715" s="12" t="str"/>
      <x:c r="K715" s="12" t="str">
        <x:v>기존 로그인·세션·메뉴 접근</x:v>
      </x:c>
      <x:c r="L715" s="12" t="str">
        <x:v>Security/Browser/API/Multi-instance</x:v>
      </x:c>
    </x:row>
    <x:row r="716">
      <x:c r="A716" s="12" t="str">
        <x:v>CPF-QA-D04-ACT-006</x:v>
      </x:c>
      <x:c r="B716" s="12" t="str">
        <x:v>ACT</x:v>
      </x:c>
      <x:c r="C716" s="12" t="str">
        <x:v>WP18</x:v>
      </x:c>
      <x:c r="D716" s="12" t="str">
        <x:v>재확인 필요</x:v>
      </x:c>
      <x:c r="E716" s="12" t="str">
        <x:v>P0</x:v>
      </x:c>
      <x:c r="F716" s="12" t="str">
        <x:v>복구 권한</x:v>
      </x:c>
      <x:c r="G716" s="12" t="str">
        <x:v>ROLLBACK/RECONCILE/FORCE_RECOVER/LOCK_RELEASE를 고위험 권한으로 분리한다.</x:v>
      </x:c>
      <x:c r="H716" s="12" t="str">
        <x:v>승인·사유·expectedVersion 없는 요청을 거부한다.</x:v>
      </x:c>
      <x:c r="I716" s="12" t="str">
        <x:v>ADM/BZA/backend permission</x:v>
      </x:c>
      <x:c r="J716" s="12" t="str"/>
      <x:c r="K716" s="12" t="str">
        <x:v>기존 로그인·세션·메뉴 접근</x:v>
      </x:c>
      <x:c r="L716" s="12" t="str">
        <x:v>Security/Browser/API/Multi-instance</x:v>
      </x:c>
    </x:row>
    <x:row r="717">
      <x:c r="A717" s="12" t="str">
        <x:v>CPF-QA-D04-ACT-007</x:v>
      </x:c>
      <x:c r="B717" s="12" t="str">
        <x:v>ACT</x:v>
      </x:c>
      <x:c r="C717" s="12" t="str">
        <x:v>WP18</x:v>
      </x:c>
      <x:c r="D717" s="12" t="str">
        <x:v>재확인 필요</x:v>
      </x:c>
      <x:c r="E717" s="12" t="str">
        <x:v>P0</x:v>
      </x:c>
      <x:c r="F717" s="12" t="str">
        <x:v>승인·반려 권한</x:v>
      </x:c>
      <x:c r="G717" s="12" t="str">
        <x:v>APPROVE/REJECT/DELEGATE/BREAK_GLASS를 분리하고 self-approval, quorum, expiry를 집행한다.</x:v>
      </x:c>
      <x:c r="H717" s="12" t="str">
        <x:v>동일 사용자, 만료, 대상 변경, hash mismatch를 검증한다.</x:v>
      </x:c>
      <x:c r="I717" s="12" t="str">
        <x:v>ADM/BZA/backend permission</x:v>
      </x:c>
      <x:c r="J717" s="12" t="str"/>
      <x:c r="K717" s="12" t="str">
        <x:v>기존 로그인·세션·메뉴 접근</x:v>
      </x:c>
      <x:c r="L717" s="12" t="str">
        <x:v>Security/Browser/API/Multi-instance</x:v>
      </x:c>
    </x:row>
    <x:row r="718">
      <x:c r="A718" s="12" t="str">
        <x:v>CPF-QA-D04-ACT-008</x:v>
      </x:c>
      <x:c r="B718" s="12" t="str">
        <x:v>ACT</x:v>
      </x:c>
      <x:c r="C718" s="12" t="str">
        <x:v>WP18</x:v>
      </x:c>
      <x:c r="D718" s="12" t="str">
        <x:v>재확인 필요</x:v>
      </x:c>
      <x:c r="E718" s="12" t="str">
        <x:v>P0</x:v>
      </x:c>
      <x:c r="F718" s="12" t="str">
        <x:v>Upload·Download 권한</x:v>
      </x:c>
      <x:c r="G718" s="12" t="str">
        <x:v>DOWNLOAD/DOWNLOAD_SENSITIVE/UPLOAD/UPLOAD_APPLY/TEMPLATE/ERROR_FILE을 분리한다.</x:v>
      </x:c>
      <x:c r="H718" s="12" t="str">
        <x:v>파일 URL 직접 접근, 다른 Job ID, 만료 파일을 검증한다.</x:v>
      </x:c>
      <x:c r="I718" s="12" t="str">
        <x:v>ADM/BZA/backend permission</x:v>
      </x:c>
      <x:c r="J718" s="12" t="str"/>
      <x:c r="K718" s="12" t="str">
        <x:v>기존 로그인·세션·메뉴 접근</x:v>
      </x:c>
      <x:c r="L718" s="12" t="str">
        <x:v>Security/Browser/API/Multi-instance</x:v>
      </x:c>
    </x:row>
    <x:row r="719">
      <x:c r="A719" s="12" t="str">
        <x:v>CPF-QA-D04-ACT-009</x:v>
      </x:c>
      <x:c r="B719" s="12" t="str">
        <x:v>ACT</x:v>
      </x:c>
      <x:c r="C719" s="12" t="str">
        <x:v>WP18</x:v>
      </x:c>
      <x:c r="D719" s="12" t="str">
        <x:v>재확인 필요</x:v>
      </x:c>
      <x:c r="E719" s="12" t="str">
        <x:v>P0</x:v>
      </x:c>
      <x:c r="F719" s="12" t="str">
        <x:v>로그·Evidence 권한</x:v>
      </x:c>
      <x:c r="G719" s="12" t="str">
        <x:v>LOG_VIEW/LOG_DOWNLOAD/LOG_BUNDLE/EVIDENCE_DOWNLOAD를 분리하고 민감 로그 승인을 적용한다.</x:v>
      </x:c>
      <x:c r="H719" s="12" t="str">
        <x:v>Path·trace·instance scope 우회를 검증한다.</x:v>
      </x:c>
      <x:c r="I719" s="12" t="str">
        <x:v>ADM/BZA/backend permission</x:v>
      </x:c>
      <x:c r="J719" s="12" t="str"/>
      <x:c r="K719" s="12" t="str">
        <x:v>기존 로그인·세션·메뉴 접근</x:v>
      </x:c>
      <x:c r="L719" s="12" t="str">
        <x:v>Security/Browser/API/Multi-instance</x:v>
      </x:c>
    </x:row>
    <x:row r="720">
      <x:c r="A720" s="12" t="str">
        <x:v>CPF-QA-D04-ACT-010</x:v>
      </x:c>
      <x:c r="B720" s="12" t="str">
        <x:v>ACT</x:v>
      </x:c>
      <x:c r="C720" s="12" t="str">
        <x:v>WP18</x:v>
      </x:c>
      <x:c r="D720" s="12" t="str">
        <x:v>재확인 필요</x:v>
      </x:c>
      <x:c r="E720" s="12" t="str">
        <x:v>P0</x:v>
      </x:c>
      <x:c r="F720" s="12" t="str">
        <x:v>Secret·Certificate 권한</x:v>
      </x:c>
      <x:c r="G720" s="12" t="str">
        <x:v>SECRET_VIEW/ROTATE/CERTIFICATE_RELOAD와 원문 비노출 정책을 적용한다.</x:v>
      </x:c>
      <x:c r="H720" s="12" t="str">
        <x:v>권한 없는 조회, Audit, rotation 실패를 검증한다.</x:v>
      </x:c>
      <x:c r="I720" s="12" t="str">
        <x:v>ADM/BZA/backend permission</x:v>
      </x:c>
      <x:c r="J720" s="12" t="str"/>
      <x:c r="K720" s="12" t="str">
        <x:v>기존 로그인·세션·메뉴 접근</x:v>
      </x:c>
      <x:c r="L720" s="12" t="str">
        <x:v>Security/Browser/API/Multi-instance</x:v>
      </x:c>
    </x:row>
    <x:row r="721">
      <x:c r="A721" s="12" t="str">
        <x:v>CPF-QA-D04-ACT-011</x:v>
      </x:c>
      <x:c r="B721" s="12" t="str">
        <x:v>ACT</x:v>
      </x:c>
      <x:c r="C721" s="12" t="str">
        <x:v>WP18</x:v>
      </x:c>
      <x:c r="D721" s="12" t="str">
        <x:v>재확인 필요</x:v>
      </x:c>
      <x:c r="E721" s="12" t="str">
        <x:v>P0</x:v>
      </x:c>
      <x:c r="F721" s="12" t="str">
        <x:v>Backend 403 필수</x:v>
      </x:c>
      <x:c r="G721" s="12" t="str">
        <x:v>Frontend 숨김과 무관하게 모든 Endpoint가 canonical permission matcher로 Backend에서 차단돼야 한다.</x:v>
      </x:c>
      <x:c r="H721" s="12" t="str">
        <x:v>curl/direct API로 401/403/404 정책과 encoded path를 검증한다.</x:v>
      </x:c>
      <x:c r="I721" s="12" t="str">
        <x:v>ADM/BZA/backend permission</x:v>
      </x:c>
      <x:c r="J721" s="12" t="str"/>
      <x:c r="K721" s="12" t="str">
        <x:v>기존 로그인·세션·메뉴 접근</x:v>
      </x:c>
      <x:c r="L721" s="12" t="str">
        <x:v>Security/Browser/API/Multi-instance</x:v>
      </x:c>
    </x:row>
    <x:row r="722">
      <x:c r="A722" s="12" t="str">
        <x:v>CPF-QA-D04-ACT-012</x:v>
      </x:c>
      <x:c r="B722" s="12" t="str">
        <x:v>ACT</x:v>
      </x:c>
      <x:c r="C722" s="12" t="str">
        <x:v>WP18</x:v>
      </x:c>
      <x:c r="D722" s="12" t="str">
        <x:v>재확인 필요</x:v>
      </x:c>
      <x:c r="E722" s="12" t="str">
        <x:v>P0</x:v>
      </x:c>
      <x:c r="F722" s="12" t="str">
        <x:v>Deny 우선·상속</x:v>
      </x:c>
      <x:c r="G722" s="12" t="str">
        <x:v>직접 Allow, Role Allow, 조직 상속보다 명시적 Deny가 우선하도록 effective permission을 계산한다.</x:v>
      </x:c>
      <x:c r="H722" s="12" t="str">
        <x:v>충돌 조합과 cache 갱신을 검증한다.</x:v>
      </x:c>
      <x:c r="I722" s="12" t="str">
        <x:v>ADM/BZA/backend permission</x:v>
      </x:c>
      <x:c r="J722" s="12" t="str"/>
      <x:c r="K722" s="12" t="str">
        <x:v>기존 로그인·세션·메뉴 접근</x:v>
      </x:c>
      <x:c r="L722" s="12" t="str">
        <x:v>Security/Browser/API/Multi-instance</x:v>
      </x:c>
    </x:row>
    <x:row r="723">
      <x:c r="A723" s="12" t="str">
        <x:v>CPF-QA-D04-ACT-013</x:v>
      </x:c>
      <x:c r="B723" s="12" t="str">
        <x:v>ACT</x:v>
      </x:c>
      <x:c r="C723" s="12" t="str">
        <x:v>WP18</x:v>
      </x:c>
      <x:c r="D723" s="12" t="str">
        <x:v>재확인 필요</x:v>
      </x:c>
      <x:c r="E723" s="12" t="str">
        <x:v>P0</x:v>
      </x:c>
      <x:c r="F723" s="12" t="str">
        <x:v>권한 변경 전파</x:v>
      </x:c>
      <x:c r="G723" s="12" t="str">
        <x:v>권한 변경 후 session/token/cache invalidation과 instance ACK를 제공한다.</x:v>
      </x:c>
      <x:c r="H723" s="12" t="str">
        <x:v>다중 WAS에서 이전 권한 사용 window와 offline instance 복귀를 검증한다.</x:v>
      </x:c>
      <x:c r="I723" s="12" t="str">
        <x:v>ADM/BZA/backend permission</x:v>
      </x:c>
      <x:c r="J723" s="12" t="str"/>
      <x:c r="K723" s="12" t="str">
        <x:v>기존 로그인·세션·메뉴 접근</x:v>
      </x:c>
      <x:c r="L723" s="12" t="str">
        <x:v>Security/Browser/API/Multi-instance</x:v>
      </x:c>
    </x:row>
    <x:row r="724">
      <x:c r="A724" s="12" t="str">
        <x:v>CPF-QA-D04-ACT-014</x:v>
      </x:c>
      <x:c r="B724" s="12" t="str">
        <x:v>ACT</x:v>
      </x:c>
      <x:c r="C724" s="12" t="str">
        <x:v>WP18</x:v>
      </x:c>
      <x:c r="D724" s="12" t="str">
        <x:v>재확인 필요</x:v>
      </x:c>
      <x:c r="E724" s="12" t="str">
        <x:v>P0</x:v>
      </x:c>
      <x:c r="F724" s="12" t="str">
        <x:v>Data Scope·Tenant 격리</x:v>
      </x:c>
      <x:c r="G724" s="12" t="str">
        <x:v>동일 Action 권한이라도 조직·Domain·Tenant·Environment 데이터 범위를 강제한다.</x:v>
      </x:c>
      <x:c r="H724" s="12" t="str">
        <x:v>ID 변조, filter 제거, export scope 우회를 검증한다.</x:v>
      </x:c>
      <x:c r="I724" s="12" t="str">
        <x:v>ADM/BZA/backend permission</x:v>
      </x:c>
      <x:c r="J724" s="12" t="str"/>
      <x:c r="K724" s="12" t="str">
        <x:v>기존 로그인·세션·메뉴 접근</x:v>
      </x:c>
      <x:c r="L724" s="12" t="str">
        <x:v>Security/Browser/API/Multi-instance</x:v>
      </x:c>
    </x:row>
    <x:row r="725">
      <x:c r="A725" s="12" t="str">
        <x:v>CPF-QA-D04-ACT-015</x:v>
      </x:c>
      <x:c r="B725" s="12" t="str">
        <x:v>ACT</x:v>
      </x:c>
      <x:c r="C725" s="12" t="str">
        <x:v>WP18</x:v>
      </x:c>
      <x:c r="D725" s="12" t="str">
        <x:v>재확인 필요</x:v>
      </x:c>
      <x:c r="E725" s="12" t="str">
        <x:v>P0</x:v>
      </x:c>
      <x:c r="F725" s="12" t="str">
        <x:v>권한 Audit·Simulation</x:v>
      </x:c>
      <x:c r="G725" s="12" t="str">
        <x:v>실제 판정 근거와 simulation 결과를 기록하되 민감 정책을 과다 노출하지 않는다.</x:v>
      </x:c>
      <x:c r="H725" s="12" t="str">
        <x:v>실제 요청 결과와 simulation parity를 검증한다.</x:v>
      </x:c>
      <x:c r="I725" s="12" t="str">
        <x:v>ADM/BZA/backend permission</x:v>
      </x:c>
      <x:c r="J725" s="12" t="str"/>
      <x:c r="K725" s="12" t="str">
        <x:v>기존 로그인·세션·메뉴 접근</x:v>
      </x:c>
      <x:c r="L725" s="12" t="str">
        <x:v>Security/Browser/API/Multi-instance</x:v>
      </x:c>
    </x:row>
    <x:row r="726">
      <x:c r="A726" s="12" t="str">
        <x:v>CPF-QA-D04-XLDN-001</x:v>
      </x:c>
      <x:c r="B726" s="12" t="str">
        <x:v>XLDN</x:v>
      </x:c>
      <x:c r="C726" s="12" t="str">
        <x:v>WP19</x:v>
      </x:c>
      <x:c r="D726" s="12" t="str">
        <x:v>부분 구현</x:v>
      </x:c>
      <x:c r="E726" s="12" t="str">
        <x:v>P0</x:v>
      </x:c>
      <x:c r="F726" s="12" t="str">
        <x:v>검색조건·선택·전체 Download</x:v>
      </x:c>
      <x:c r="G726" s="12" t="str">
        <x:v>현재 검색조건, 선택행, 전체 결과를 구분하고 조건 Snapshot과 예상 건수를 Preview한다.</x:v>
      </x:c>
      <x:c r="H726" s="12" t="str">
        <x:v>화면 filter와 파일 내용 parity, 첫 페이지만 다운로드하는 결함을 검증한다.</x:v>
      </x:c>
      <x:c r="I726" s="12" t="str">
        <x:v>ADM/BZA export</x:v>
      </x:c>
      <x:c r="J726" s="12" t="str">
        <x:v>CPF-QA-D04-ACT-008</x:v>
      </x:c>
      <x:c r="K726" s="12" t="str">
        <x:v>기존 CSV 소량 다운로드</x:v>
      </x:c>
      <x:c r="L726" s="12" t="str">
        <x:v>Browser/API/DB/File</x:v>
      </x:c>
    </x:row>
    <x:row r="727">
      <x:c r="A727" s="12" t="str">
        <x:v>CPF-QA-D04-XLDN-002</x:v>
      </x:c>
      <x:c r="B727" s="12" t="str">
        <x:v>XLDN</x:v>
      </x:c>
      <x:c r="C727" s="12" t="str">
        <x:v>WP19</x:v>
      </x:c>
      <x:c r="D727" s="12" t="str">
        <x:v>부분 구현</x:v>
      </x:c>
      <x:c r="E727" s="12" t="str">
        <x:v>P0</x:v>
      </x:c>
      <x:c r="F727" s="12" t="str">
        <x:v>Server Streaming</x:v>
      </x:c>
      <x:c r="G727" s="12" t="str">
        <x:v>전체 결과를 List/String/byte[]로 적재하지 않고 cursor/keyset 기반 streaming을 사용한다.</x:v>
      </x:c>
      <x:c r="H727" s="12" t="str">
        <x:v>10만~100만 건에서 heap 상한, client disconnect, timeout을 검증한다.</x:v>
      </x:c>
      <x:c r="I727" s="12" t="str">
        <x:v>ADM/BZA export</x:v>
      </x:c>
      <x:c r="J727" s="12" t="str">
        <x:v>CPF-QA-D04-ACT-008</x:v>
      </x:c>
      <x:c r="K727" s="12" t="str">
        <x:v>기존 CSV 소량 다운로드</x:v>
      </x:c>
      <x:c r="L727" s="12" t="str">
        <x:v>Browser/API/DB/File</x:v>
      </x:c>
    </x:row>
    <x:row r="728">
      <x:c r="A728" s="12" t="str">
        <x:v>CPF-QA-D04-XLDN-003</x:v>
      </x:c>
      <x:c r="B728" s="12" t="str">
        <x:v>XLDN</x:v>
      </x:c>
      <x:c r="C728" s="12" t="str">
        <x:v>WP19</x:v>
      </x:c>
      <x:c r="D728" s="12" t="str">
        <x:v>부분 구현</x:v>
      </x:c>
      <x:c r="E728" s="12" t="str">
        <x:v>P0</x:v>
      </x:c>
      <x:c r="F728" s="12" t="str">
        <x:v>비동기 Download Job</x:v>
      </x:c>
      <x:c r="G728" s="12" t="str">
        <x:v>대량 요청은 REQUESTED/APPROVAL/RUNNING/SUCCESS/FAILED/CANCELLED/EXPIRED/UNKNOWN 상태 Job으로 처리한다.</x:v>
      </x:c>
      <x:c r="H728" s="12" t="str">
        <x:v>restart, duplicate operation, cancel, expiry를 검증한다.</x:v>
      </x:c>
      <x:c r="I728" s="12" t="str">
        <x:v>ADM/BZA export</x:v>
      </x:c>
      <x:c r="J728" s="12" t="str">
        <x:v>CPF-QA-D04-ACT-008</x:v>
      </x:c>
      <x:c r="K728" s="12" t="str">
        <x:v>기존 CSV 소량 다운로드</x:v>
      </x:c>
      <x:c r="L728" s="12" t="str">
        <x:v>Browser/API/DB/File</x:v>
      </x:c>
    </x:row>
    <x:row r="729">
      <x:c r="A729" s="12" t="str">
        <x:v>CPF-QA-D04-XLDN-004</x:v>
      </x:c>
      <x:c r="B729" s="12" t="str">
        <x:v>XLDN</x:v>
      </x:c>
      <x:c r="C729" s="12" t="str">
        <x:v>WP19</x:v>
      </x:c>
      <x:c r="D729" s="12" t="str">
        <x:v>부분 구현</x:v>
      </x:c>
      <x:c r="E729" s="12" t="str">
        <x:v>P0</x:v>
      </x:c>
      <x:c r="F729" s="12" t="str">
        <x:v>CSV·XLSX 정책</x:v>
      </x:c>
      <x:c r="G729" s="12" t="str">
        <x:v>CSV/XLSX, sheet split, UTF-8 BOM, delimiter, newline, leading zero, numeric/date/timezone 형식을 정의한다.</x:v>
      </x:c>
      <x:c r="H729" s="12" t="str">
        <x:v>Excel/LibreOffice import, locale, 최대 sheet row를 검증한다.</x:v>
      </x:c>
      <x:c r="I729" s="12" t="str">
        <x:v>ADM/BZA export</x:v>
      </x:c>
      <x:c r="J729" s="12" t="str">
        <x:v>CPF-QA-D04-ACT-008</x:v>
      </x:c>
      <x:c r="K729" s="12" t="str">
        <x:v>기존 CSV 소량 다운로드</x:v>
      </x:c>
      <x:c r="L729" s="12" t="str">
        <x:v>Browser/API/DB/File</x:v>
      </x:c>
    </x:row>
    <x:row r="730">
      <x:c r="A730" s="12" t="str">
        <x:v>CPF-QA-D04-XLDN-005</x:v>
      </x:c>
      <x:c r="B730" s="12" t="str">
        <x:v>XLDN</x:v>
      </x:c>
      <x:c r="C730" s="12" t="str">
        <x:v>WP19</x:v>
      </x:c>
      <x:c r="D730" s="12" t="str">
        <x:v>재확인 필요</x:v>
      </x:c>
      <x:c r="E730" s="12" t="str">
        <x:v>P0</x:v>
      </x:c>
      <x:c r="F730" s="12" t="str">
        <x:v>Formula Injection 방지</x:v>
      </x:c>
      <x:c r="G730" s="12" t="e">
        <x:f>,+,-, 및 탭/개행 우회 등 spreadsheet formula injection을 무해화한다.</x:f>
      </x:c>
      <x:c r="H730" s="12" t="str">
        <x:v>악성 cell payload를 실제 spreadsheet에서 검증한다.</x:v>
      </x:c>
      <x:c r="I730" s="12" t="str">
        <x:v>ADM/BZA export</x:v>
      </x:c>
      <x:c r="J730" s="12" t="str">
        <x:v>CPF-QA-D04-ACT-008</x:v>
      </x:c>
      <x:c r="K730" s="12" t="str">
        <x:v>기존 CSV 소량 다운로드</x:v>
      </x:c>
      <x:c r="L730" s="12" t="str">
        <x:v>Browser/API/DB/File</x:v>
      </x:c>
    </x:row>
    <x:row r="731">
      <x:c r="A731" s="12" t="str">
        <x:v>CPF-QA-D04-XLDN-006</x:v>
      </x:c>
      <x:c r="B731" s="12" t="str">
        <x:v>XLDN</x:v>
      </x:c>
      <x:c r="C731" s="12" t="str">
        <x:v>WP19</x:v>
      </x:c>
      <x:c r="D731" s="12" t="str">
        <x:v>재확인 필요</x:v>
      </x:c>
      <x:c r="E731" s="12" t="str">
        <x:v>P0</x:v>
      </x:c>
      <x:c r="F731" s="12" t="str">
        <x:v>Masking·Data Scope</x:v>
      </x:c>
      <x:c r="G731" s="12" t="str">
        <x:v>화면과 동일하거나 더 강한 masking, tenant/domain/org/environment scope를 적용한다.</x:v>
      </x:c>
      <x:c r="H731" s="12" t="str">
        <x:v>DB 원문이 파일에 노출되지 않는지 검증한다.</x:v>
      </x:c>
      <x:c r="I731" s="12" t="str">
        <x:v>ADM/BZA export</x:v>
      </x:c>
      <x:c r="J731" s="12" t="str">
        <x:v>CPF-QA-D04-ACT-008</x:v>
      </x:c>
      <x:c r="K731" s="12" t="str">
        <x:v>기존 CSV 소량 다운로드</x:v>
      </x:c>
      <x:c r="L731" s="12" t="str">
        <x:v>Browser/API/DB/File</x:v>
      </x:c>
    </x:row>
    <x:row r="732">
      <x:c r="A732" s="12" t="str">
        <x:v>CPF-QA-D04-XLDN-007</x:v>
      </x:c>
      <x:c r="B732" s="12" t="str">
        <x:v>XLDN</x:v>
      </x:c>
      <x:c r="C732" s="12" t="str">
        <x:v>WP19</x:v>
      </x:c>
      <x:c r="D732" s="12" t="str">
        <x:v>재확인 필요</x:v>
      </x:c>
      <x:c r="E732" s="12" t="str">
        <x:v>P0</x:v>
      </x:c>
      <x:c r="F732" s="12" t="str">
        <x:v>민감 Download 승인</x:v>
      </x:c>
      <x:c r="G732" s="12" t="str">
        <x:v>민감 데이터는 별도 권한, 사유, approval, 목적, 만료와 audit를 요구한다.</x:v>
      </x:c>
      <x:c r="H732" s="12" t="str">
        <x:v>승인 만료·재사용·다른 검색조건을 검증한다.</x:v>
      </x:c>
      <x:c r="I732" s="12" t="str">
        <x:v>ADM/BZA export</x:v>
      </x:c>
      <x:c r="J732" s="12" t="str">
        <x:v>CPF-QA-D04-ACT-008</x:v>
      </x:c>
      <x:c r="K732" s="12" t="str">
        <x:v>기존 CSV 소량 다운로드</x:v>
      </x:c>
      <x:c r="L732" s="12" t="str">
        <x:v>Browser/API/DB/File</x:v>
      </x:c>
    </x:row>
    <x:row r="733">
      <x:c r="A733" s="12" t="str">
        <x:v>CPF-QA-D04-XLDN-008</x:v>
      </x:c>
      <x:c r="B733" s="12" t="str">
        <x:v>XLDN</x:v>
      </x:c>
      <x:c r="C733" s="12" t="str">
        <x:v>WP19</x:v>
      </x:c>
      <x:c r="D733" s="12" t="str">
        <x:v>재확인 필요</x:v>
      </x:c>
      <x:c r="E733" s="12" t="str">
        <x:v>P0</x:v>
      </x:c>
      <x:c r="F733" s="12" t="str">
        <x:v>Download File 보안</x:v>
      </x:c>
      <x:c r="G733" s="12" t="str">
        <x:v>파일 hash, content type, filename, signed/session-bound URL, 만료, 재다운로드 정책을 제공한다.</x:v>
      </x:c>
      <x:c r="H733" s="12" t="str">
        <x:v>URL 공유, path traversal, 다른 사용자 다운로드를 검증한다.</x:v>
      </x:c>
      <x:c r="I733" s="12" t="str">
        <x:v>ADM/BZA export</x:v>
      </x:c>
      <x:c r="J733" s="12" t="str">
        <x:v>CPF-QA-D04-ACT-008</x:v>
      </x:c>
      <x:c r="K733" s="12" t="str">
        <x:v>기존 CSV 소량 다운로드</x:v>
      </x:c>
      <x:c r="L733" s="12" t="str">
        <x:v>Browser/API/DB/File</x:v>
      </x:c>
    </x:row>
    <x:row r="734">
      <x:c r="A734" s="12" t="str">
        <x:v>CPF-QA-D04-XLDN-009</x:v>
      </x:c>
      <x:c r="B734" s="12" t="str">
        <x:v>XLDN</x:v>
      </x:c>
      <x:c r="C734" s="12" t="str">
        <x:v>WP19</x:v>
      </x:c>
      <x:c r="D734" s="12" t="str">
        <x:v>재확인 필요</x:v>
      </x:c>
      <x:c r="E734" s="12" t="str">
        <x:v>P0</x:v>
      </x:c>
      <x:c r="F734" s="12" t="str">
        <x:v>Temporary File Lifecycle</x:v>
      </x:c>
      <x:c r="G734" s="12" t="str">
        <x:v>성공·실패·취소·timeout 모두 임시파일을 정리하고 보존기간과 암호화를 적용한다.</x:v>
      </x:c>
      <x:c r="H734" s="12" t="str">
        <x:v>process kill 후 orphan cleanup을 검증한다.</x:v>
      </x:c>
      <x:c r="I734" s="12" t="str">
        <x:v>ADM/BZA export</x:v>
      </x:c>
      <x:c r="J734" s="12" t="str">
        <x:v>CPF-QA-D04-ACT-008</x:v>
      </x:c>
      <x:c r="K734" s="12" t="str">
        <x:v>기존 CSV 소량 다운로드</x:v>
      </x:c>
      <x:c r="L734" s="12" t="str">
        <x:v>Browser/API/DB/File</x:v>
      </x:c>
    </x:row>
    <x:row r="735">
      <x:c r="A735" s="12" t="str">
        <x:v>CPF-QA-D04-XLDN-010</x:v>
      </x:c>
      <x:c r="B735" s="12" t="str">
        <x:v>XLDN</x:v>
      </x:c>
      <x:c r="C735" s="12" t="str">
        <x:v>WP19</x:v>
      </x:c>
      <x:c r="D735" s="12" t="str">
        <x:v>재확인 필요</x:v>
      </x:c>
      <x:c r="E735" s="12" t="str">
        <x:v>P0</x:v>
      </x:c>
      <x:c r="F735" s="12" t="str">
        <x:v>동시성·Quota</x:v>
      </x:c>
      <x:c r="G735" s="12" t="str">
        <x:v>사용자/조직/환경별 동시 Job, 행수, 파일크기, 기간 제한과 backpressure를 제공한다.</x:v>
      </x:c>
      <x:c r="H735" s="12" t="str">
        <x:v>동시 100건, quota 초과, queue saturation을 검증한다.</x:v>
      </x:c>
      <x:c r="I735" s="12" t="str">
        <x:v>ADM/BZA export</x:v>
      </x:c>
      <x:c r="J735" s="12" t="str">
        <x:v>CPF-QA-D04-ACT-008</x:v>
      </x:c>
      <x:c r="K735" s="12" t="str">
        <x:v>기존 CSV 소량 다운로드</x:v>
      </x:c>
      <x:c r="L735" s="12" t="str">
        <x:v>Browser/API/DB/File</x:v>
      </x:c>
    </x:row>
    <x:row r="736">
      <x:c r="A736" s="12" t="str">
        <x:v>CPF-QA-D04-XLDN-011</x:v>
      </x:c>
      <x:c r="B736" s="12" t="str">
        <x:v>XLDN</x:v>
      </x:c>
      <x:c r="C736" s="12" t="str">
        <x:v>WP19</x:v>
      </x:c>
      <x:c r="D736" s="12" t="str">
        <x:v>부분 구현</x:v>
      </x:c>
      <x:c r="E736" s="12" t="str">
        <x:v>P0</x:v>
      </x:c>
      <x:c r="F736" s="12" t="str">
        <x:v>Vendor-neutral Query</x:v>
      </x:c>
      <x:c r="G736" s="12" t="str">
        <x:v>Java Source의 LIMIT/CONCAT/NOW 등 Vendor SQL을 제거하고 3 Vendor Query를 canonical contract로 관리한다.</x:v>
      </x:c>
      <x:c r="H736" s="12" t="str">
        <x:v>MariaDB/PostgreSQL/Oracle 결과 parity를 검증한다.</x:v>
      </x:c>
      <x:c r="I736" s="12" t="str">
        <x:v>ADM/BZA export</x:v>
      </x:c>
      <x:c r="J736" s="12" t="str">
        <x:v>CPF-QA-D04-ACT-008</x:v>
      </x:c>
      <x:c r="K736" s="12" t="str">
        <x:v>기존 CSV 소량 다운로드</x:v>
      </x:c>
      <x:c r="L736" s="12" t="str">
        <x:v>Browser/API/DB/File</x:v>
      </x:c>
    </x:row>
    <x:row r="737">
      <x:c r="A737" s="12" t="str">
        <x:v>CPF-QA-D04-XLDN-012</x:v>
      </x:c>
      <x:c r="B737" s="12" t="str">
        <x:v>XLDN</x:v>
      </x:c>
      <x:c r="C737" s="12" t="str">
        <x:v>WP19</x:v>
      </x:c>
      <x:c r="D737" s="12" t="str">
        <x:v>재확인 필요</x:v>
      </x:c>
      <x:c r="E737" s="12" t="str">
        <x:v>P0</x:v>
      </x:c>
      <x:c r="F737" s="12" t="str">
        <x:v>Download Audit</x:v>
      </x:c>
      <x:c r="G737" s="12" t="str">
        <x:v>요청조건, row count, mask policy, 승인, file hash, 다운로드 시각과 결과를 불변 감사로 기록한다.</x:v>
      </x:c>
      <x:c r="H737" s="12" t="str">
        <x:v>파일 생성 성공과 실제 다운로드를 구분한다.</x:v>
      </x:c>
      <x:c r="I737" s="12" t="str">
        <x:v>ADM/BZA export</x:v>
      </x:c>
      <x:c r="J737" s="12" t="str">
        <x:v>CPF-QA-D04-ACT-008</x:v>
      </x:c>
      <x:c r="K737" s="12" t="str">
        <x:v>기존 CSV 소량 다운로드</x:v>
      </x:c>
      <x:c r="L737" s="12" t="str">
        <x:v>Browser/API/DB/File</x:v>
      </x:c>
    </x:row>
    <x:row r="738">
      <x:c r="A738" s="12" t="str">
        <x:v>CPF-QA-D04-XLDN-013</x:v>
      </x:c>
      <x:c r="B738" s="12" t="str">
        <x:v>XLDN</x:v>
      </x:c>
      <x:c r="C738" s="12" t="str">
        <x:v>WP19</x:v>
      </x:c>
      <x:c r="D738" s="12" t="str">
        <x:v>재확인 필요</x:v>
      </x:c>
      <x:c r="E738" s="12" t="str">
        <x:v>P0</x:v>
      </x:c>
      <x:c r="F738" s="12" t="str">
        <x:v>오류 UX·재시도</x:v>
      </x:c>
      <x:c r="G738" s="12" t="str">
        <x:v>실패 단계와 오류코드, 재시도 가능 여부, 임시파일 상태를 UI에서 제공한다.</x:v>
      </x:c>
      <x:c r="H738" s="12" t="str">
        <x:v>DB timeout, disk full, client cancel, formatter error를 검증한다.</x:v>
      </x:c>
      <x:c r="I738" s="12" t="str">
        <x:v>ADM/BZA export</x:v>
      </x:c>
      <x:c r="J738" s="12" t="str">
        <x:v>CPF-QA-D04-ACT-008</x:v>
      </x:c>
      <x:c r="K738" s="12" t="str">
        <x:v>기존 CSV 소량 다운로드</x:v>
      </x:c>
      <x:c r="L738" s="12" t="str">
        <x:v>Browser/API/DB/File</x:v>
      </x:c>
    </x:row>
    <x:row r="739">
      <x:c r="A739" s="12" t="str">
        <x:v>CPF-QA-D04-XLDN-014</x:v>
      </x:c>
      <x:c r="B739" s="12" t="str">
        <x:v>XLDN</x:v>
      </x:c>
      <x:c r="C739" s="12" t="str">
        <x:v>WP19</x:v>
      </x:c>
      <x:c r="D739" s="12" t="str">
        <x:v>부분 구현</x:v>
      </x:c>
      <x:c r="E739" s="12" t="str">
        <x:v>P0</x:v>
      </x:c>
      <x:c r="F739" s="12" t="str">
        <x:v>ADM Download Center</x:v>
      </x:c>
      <x:c r="G739" s="12" t="str">
        <x:v>진행률, queue, 파일 만료, 실패, 취소, 재다운로드와 권한을 전용 화면으로 제공한다.</x:v>
      </x:c>
      <x:c r="H739" s="12" t="str">
        <x:v>Browser E2E와 server restart recovery를 검증한다.</x:v>
      </x:c>
      <x:c r="I739" s="12" t="str">
        <x:v>ADM/BZA export</x:v>
      </x:c>
      <x:c r="J739" s="12" t="str">
        <x:v>CPF-QA-D04-ACT-008</x:v>
      </x:c>
      <x:c r="K739" s="12" t="str">
        <x:v>기존 CSV 소량 다운로드</x:v>
      </x:c>
      <x:c r="L739" s="12" t="str">
        <x:v>Browser/API/DB/File</x:v>
      </x:c>
    </x:row>
    <x:row r="740">
      <x:c r="A740" s="12" t="str">
        <x:v>CPF-QA-D04-XLUP-001</x:v>
      </x:c>
      <x:c r="B740" s="12" t="str">
        <x:v>XLUP</x:v>
      </x:c>
      <x:c r="C740" s="12" t="str">
        <x:v>WP20</x:v>
      </x:c>
      <x:c r="D740" s="12" t="str">
        <x:v>미구현</x:v>
      </x:c>
      <x:c r="E740" s="12" t="str">
        <x:v>P0</x:v>
      </x:c>
      <x:c r="F740" s="12" t="str">
        <x:v>업무용 Excel·CSV Upload Framework</x:v>
      </x:c>
      <x:c r="G740" s="12" t="str">
        <x:v>첨부파일 업로드와 별개로 Template 기반 업무 데이터 Bulk Upload 표준을 제공한다.</x:v>
      </x:c>
      <x:c r="H740" s="12" t="str">
        <x:v>Public API, Job, UI, DB, audit와 실제 consumer를 검증한다.</x:v>
      </x:c>
      <x:c r="I740" s="12" t="str">
        <x:v>ADM/BZA bulk upload</x:v>
      </x:c>
      <x:c r="J740" s="12" t="str">
        <x:v>CPF-QA-D04-ACT-008</x:v>
      </x:c>
      <x:c r="K740" s="12" t="str"/>
      <x:c r="L740" s="12" t="str">
        <x:v>Browser/API/DB/File/Security</x:v>
      </x:c>
    </x:row>
    <x:row r="741">
      <x:c r="A741" s="12" t="str">
        <x:v>CPF-QA-D04-XLUP-002</x:v>
      </x:c>
      <x:c r="B741" s="12" t="str">
        <x:v>XLUP</x:v>
      </x:c>
      <x:c r="C741" s="12" t="str">
        <x:v>WP20</x:v>
      </x:c>
      <x:c r="D741" s="12" t="str">
        <x:v>미구현</x:v>
      </x:c>
      <x:c r="E741" s="12" t="str">
        <x:v>P0</x:v>
      </x:c>
      <x:c r="F741" s="12" t="str">
        <x:v>Template Registry·Version</x:v>
      </x:c>
      <x:c r="G741" s="12" t="str">
        <x:v>Template type/version, column schema, required/optional, code list, effective period를 관리한다.</x:v>
      </x:c>
      <x:c r="H741" s="12" t="str">
        <x:v>구버전·미래버전·변조 template을 검증한다.</x:v>
      </x:c>
      <x:c r="I741" s="12" t="str">
        <x:v>ADM/BZA bulk upload</x:v>
      </x:c>
      <x:c r="J741" s="12" t="str">
        <x:v>CPF-QA-D04-ACT-008</x:v>
      </x:c>
      <x:c r="K741" s="12" t="str"/>
      <x:c r="L741" s="12" t="str">
        <x:v>Browser/API/DB/File/Security</x:v>
      </x:c>
    </x:row>
    <x:row r="742">
      <x:c r="A742" s="12" t="str">
        <x:v>CPF-QA-D04-XLUP-003</x:v>
      </x:c>
      <x:c r="B742" s="12" t="str">
        <x:v>XLUP</x:v>
      </x:c>
      <x:c r="C742" s="12" t="str">
        <x:v>WP20</x:v>
      </x:c>
      <x:c r="D742" s="12" t="str">
        <x:v>재확인 필요</x:v>
      </x:c>
      <x:c r="E742" s="12" t="str">
        <x:v>P0</x:v>
      </x:c>
      <x:c r="F742" s="12" t="str">
        <x:v>확장자·MIME·크기</x:v>
      </x:c>
      <x:c r="G742" s="12" t="str">
        <x:v>확장자와 실제 MIME, 압축 구조, 최대 파일/행/column을 검증한다.</x:v>
      </x:c>
      <x:c r="H742" s="12" t="str">
        <x:v>확장자 위조, zip bomb, oversized, malformed xlsx를 검증한다.</x:v>
      </x:c>
      <x:c r="I742" s="12" t="str">
        <x:v>ADM/BZA bulk upload</x:v>
      </x:c>
      <x:c r="J742" s="12" t="str">
        <x:v>CPF-QA-D04-ACT-008</x:v>
      </x:c>
      <x:c r="K742" s="12" t="str"/>
      <x:c r="L742" s="12" t="str">
        <x:v>Browser/API/DB/File/Security</x:v>
      </x:c>
    </x:row>
    <x:row r="743">
      <x:c r="A743" s="12" t="str">
        <x:v>CPF-QA-D04-XLUP-004</x:v>
      </x:c>
      <x:c r="B743" s="12" t="str">
        <x:v>XLUP</x:v>
      </x:c>
      <x:c r="C743" s="12" t="str">
        <x:v>WP20</x:v>
      </x:c>
      <x:c r="D743" s="12" t="str">
        <x:v>재확인 필요</x:v>
      </x:c>
      <x:c r="E743" s="12" t="str">
        <x:v>P0</x:v>
      </x:c>
      <x:c r="F743" s="12" t="str">
        <x:v>Macro·Formula·위험 콘텐츠</x:v>
      </x:c>
      <x:c r="G743" s="12" t="str">
        <x:v>Macro, external link, formula, embedded object, DDE 등 위험 요소를 정책대로 차단/무해화한다.</x:v>
      </x:c>
      <x:c r="H743" s="12" t="str">
        <x:v>악성 sample corpus로 검증한다.</x:v>
      </x:c>
      <x:c r="I743" s="12" t="str">
        <x:v>ADM/BZA bulk upload</x:v>
      </x:c>
      <x:c r="J743" s="12" t="str">
        <x:v>CPF-QA-D04-ACT-008</x:v>
      </x:c>
      <x:c r="K743" s="12" t="str"/>
      <x:c r="L743" s="12" t="str">
        <x:v>Browser/API/DB/File/Security</x:v>
      </x:c>
    </x:row>
    <x:row r="744">
      <x:c r="A744" s="12" t="str">
        <x:v>CPF-QA-D04-XLUP-005</x:v>
      </x:c>
      <x:c r="B744" s="12" t="str">
        <x:v>XLUP</x:v>
      </x:c>
      <x:c r="C744" s="12" t="str">
        <x:v>WP20</x:v>
      </x:c>
      <x:c r="D744" s="12" t="str">
        <x:v>재확인 필요</x:v>
      </x:c>
      <x:c r="E744" s="12" t="str">
        <x:v>P0</x:v>
      </x:c>
      <x:c r="F744" s="12" t="str">
        <x:v>Encoding·Locale</x:v>
      </x:c>
      <x:c r="G744" s="12" t="str">
        <x:v>CSV encoding, delimiter, quote, newline, 날짜·숫자·timezone·locale를 명시한다.</x:v>
      </x:c>
      <x:c r="H744" s="12" t="str">
        <x:v>UTF-8/EUC-KR, 소수점/천단위, leap day를 검증한다.</x:v>
      </x:c>
      <x:c r="I744" s="12" t="str">
        <x:v>ADM/BZA bulk upload</x:v>
      </x:c>
      <x:c r="J744" s="12" t="str">
        <x:v>CPF-QA-D04-ACT-008</x:v>
      </x:c>
      <x:c r="K744" s="12" t="str"/>
      <x:c r="L744" s="12" t="str">
        <x:v>Browser/API/DB/File/Security</x:v>
      </x:c>
    </x:row>
    <x:row r="745">
      <x:c r="A745" s="12" t="str">
        <x:v>CPF-QA-D04-XLUP-006</x:v>
      </x:c>
      <x:c r="B745" s="12" t="str">
        <x:v>XLUP</x:v>
      </x:c>
      <x:c r="C745" s="12" t="str">
        <x:v>WP20</x:v>
      </x:c>
      <x:c r="D745" s="12" t="str">
        <x:v>재확인 필요</x:v>
      </x:c>
      <x:c r="E745" s="12" t="str">
        <x:v>P0</x:v>
      </x:c>
      <x:c r="F745" s="12" t="str">
        <x:v>Schema·Header Validation</x:v>
      </x:c>
      <x:c r="G745" s="12" t="str">
        <x:v>Header 순서/별칭, 누락/추가 column, data type, length, regex를 검증한다.</x:v>
      </x:c>
      <x:c r="H745" s="12" t="str">
        <x:v>row/column 단위 오류코드와 위치를 제공한다.</x:v>
      </x:c>
      <x:c r="I745" s="12" t="str">
        <x:v>ADM/BZA bulk upload</x:v>
      </x:c>
      <x:c r="J745" s="12" t="str">
        <x:v>CPF-QA-D04-ACT-008</x:v>
      </x:c>
      <x:c r="K745" s="12" t="str"/>
      <x:c r="L745" s="12" t="str">
        <x:v>Browser/API/DB/File/Security</x:v>
      </x:c>
    </x:row>
    <x:row r="746">
      <x:c r="A746" s="12" t="str">
        <x:v>CPF-QA-D04-XLUP-007</x:v>
      </x:c>
      <x:c r="B746" s="12" t="str">
        <x:v>XLUP</x:v>
      </x:c>
      <x:c r="C746" s="12" t="str">
        <x:v>WP20</x:v>
      </x:c>
      <x:c r="D746" s="12" t="str">
        <x:v>재확인 필요</x:v>
      </x:c>
      <x:c r="E746" s="12" t="str">
        <x:v>P0</x:v>
      </x:c>
      <x:c r="F746" s="12" t="str">
        <x:v>Reference·Code Integrity</x:v>
      </x:c>
      <x:c r="G746" s="12" t="str">
        <x:v>공통코드, FK, 상태전이, effective date와 업무 규칙을 validate한다.</x:v>
      </x:c>
      <x:c r="H746" s="12" t="str">
        <x:v>유효하지 않은 code/FK/기간/상태를 검증한다.</x:v>
      </x:c>
      <x:c r="I746" s="12" t="str">
        <x:v>ADM/BZA bulk upload</x:v>
      </x:c>
      <x:c r="J746" s="12" t="str">
        <x:v>CPF-QA-D04-ACT-008</x:v>
      </x:c>
      <x:c r="K746" s="12" t="str"/>
      <x:c r="L746" s="12" t="str">
        <x:v>Browser/API/DB/File/Security</x:v>
      </x:c>
    </x:row>
    <x:row r="747">
      <x:c r="A747" s="12" t="str">
        <x:v>CPF-QA-D04-XLUP-008</x:v>
      </x:c>
      <x:c r="B747" s="12" t="str">
        <x:v>XLUP</x:v>
      </x:c>
      <x:c r="C747" s="12" t="str">
        <x:v>WP20</x:v>
      </x:c>
      <x:c r="D747" s="12" t="str">
        <x:v>재확인 필요</x:v>
      </x:c>
      <x:c r="E747" s="12" t="str">
        <x:v>P0</x:v>
      </x:c>
      <x:c r="F747" s="12" t="str">
        <x:v>중복 정책</x:v>
      </x:c>
      <x:c r="G747" s="12" t="str">
        <x:v>파일 내부 중복, DB 중복, idempotencyKey, operationId와 동일 operation 다른 file hash 충돌을 처리한다.</x:v>
      </x:c>
      <x:c r="H747" s="12" t="str">
        <x:v>동시 업로드와 response loss를 검증한다.</x:v>
      </x:c>
      <x:c r="I747" s="12" t="str">
        <x:v>ADM/BZA bulk upload</x:v>
      </x:c>
      <x:c r="J747" s="12" t="str">
        <x:v>CPF-QA-D04-ACT-008</x:v>
      </x:c>
      <x:c r="K747" s="12" t="str"/>
      <x:c r="L747" s="12" t="str">
        <x:v>Browser/API/DB/File/Security</x:v>
      </x:c>
    </x:row>
    <x:row r="748">
      <x:c r="A748" s="12" t="str">
        <x:v>CPF-QA-D04-XLUP-009</x:v>
      </x:c>
      <x:c r="B748" s="12" t="str">
        <x:v>XLUP</x:v>
      </x:c>
      <x:c r="C748" s="12" t="str">
        <x:v>WP20</x:v>
      </x:c>
      <x:c r="D748" s="12" t="str">
        <x:v>미구현</x:v>
      </x:c>
      <x:c r="E748" s="12" t="str">
        <x:v>P0</x:v>
      </x:c>
      <x:c r="F748" s="12" t="str">
        <x:v>Dry-run·Preview</x:v>
      </x:c>
      <x:c r="G748" s="12" t="str">
        <x:v>실제 반영 전 valid/invalid count, change type, 영향 대상, before/after, 예상 승인 필요성을 제공한다.</x:v>
      </x:c>
      <x:c r="H748" s="12" t="str">
        <x:v>Preview 후 원본 데이터 변경과 expectedVersion 충돌을 검증한다.</x:v>
      </x:c>
      <x:c r="I748" s="12" t="str">
        <x:v>ADM/BZA bulk upload</x:v>
      </x:c>
      <x:c r="J748" s="12" t="str">
        <x:v>CPF-QA-D04-ACT-008</x:v>
      </x:c>
      <x:c r="K748" s="12" t="str"/>
      <x:c r="L748" s="12" t="str">
        <x:v>Browser/API/DB/File/Security</x:v>
      </x:c>
    </x:row>
    <x:row r="749">
      <x:c r="A749" s="12" t="str">
        <x:v>CPF-QA-D04-XLUP-010</x:v>
      </x:c>
      <x:c r="B749" s="12" t="str">
        <x:v>XLUP</x:v>
      </x:c>
      <x:c r="C749" s="12" t="str">
        <x:v>WP20</x:v>
      </x:c>
      <x:c r="D749" s="12" t="str">
        <x:v>재확인 필요</x:v>
      </x:c>
      <x:c r="E749" s="12" t="str">
        <x:v>P0</x:v>
      </x:c>
      <x:c r="F749" s="12" t="str">
        <x:v>Atomicity 정책</x:v>
      </x:c>
      <x:c r="G749" s="12" t="str">
        <x:v>All-or-nothing, chunk atomic, partial apply 중 지원 정책을 명시하고 사용자에게 표시한다.</x:v>
      </x:c>
      <x:c r="H749" s="12" t="str">
        <x:v>중간 실패, DB rollback, partial result를 검증한다.</x:v>
      </x:c>
      <x:c r="I749" s="12" t="str">
        <x:v>ADM/BZA bulk upload</x:v>
      </x:c>
      <x:c r="J749" s="12" t="str">
        <x:v>CPF-QA-D04-ACT-008</x:v>
      </x:c>
      <x:c r="K749" s="12" t="str"/>
      <x:c r="L749" s="12" t="str">
        <x:v>Browser/API/DB/File/Security</x:v>
      </x:c>
    </x:row>
    <x:row r="750">
      <x:c r="A750" s="12" t="str">
        <x:v>CPF-QA-D04-XLUP-011</x:v>
      </x:c>
      <x:c r="B750" s="12" t="str">
        <x:v>XLUP</x:v>
      </x:c>
      <x:c r="C750" s="12" t="str">
        <x:v>WP20</x:v>
      </x:c>
      <x:c r="D750" s="12" t="str">
        <x:v>미구현</x:v>
      </x:c>
      <x:c r="E750" s="12" t="str">
        <x:v>P0</x:v>
      </x:c>
      <x:c r="F750" s="12" t="str">
        <x:v>행별 Result·Error File</x:v>
      </x:c>
      <x:c r="G750" s="12" t="str">
        <x:v>행별 success/failure/skipped, errorCode, masked reason을 저장하고 오류 파일을 제공한다.</x:v>
      </x:c>
      <x:c r="H750" s="12" t="str">
        <x:v>대량 오류 파일 streaming과 masking을 검증한다.</x:v>
      </x:c>
      <x:c r="I750" s="12" t="str">
        <x:v>ADM/BZA bulk upload</x:v>
      </x:c>
      <x:c r="J750" s="12" t="str">
        <x:v>CPF-QA-D04-ACT-008</x:v>
      </x:c>
      <x:c r="K750" s="12" t="str"/>
      <x:c r="L750" s="12" t="str">
        <x:v>Browser/API/DB/File/Security</x:v>
      </x:c>
    </x:row>
    <x:row r="751">
      <x:c r="A751" s="12" t="str">
        <x:v>CPF-QA-D04-XLUP-012</x:v>
      </x:c>
      <x:c r="B751" s="12" t="str">
        <x:v>XLUP</x:v>
      </x:c>
      <x:c r="C751" s="12" t="str">
        <x:v>WP20</x:v>
      </x:c>
      <x:c r="D751" s="12" t="str">
        <x:v>미구현</x:v>
      </x:c>
      <x:c r="E751" s="12" t="str">
        <x:v>P0</x:v>
      </x:c>
      <x:c r="F751" s="12" t="str">
        <x:v>비동기 Upload Job</x:v>
      </x:c>
      <x:c r="G751" s="12" t="str">
        <x:v>VALIDATING/READY/APPROVAL/RUNNING/PARTIAL/SUCCESS/FAILED/CANCELLED/UNKNOWN 상태를 지원한다.</x:v>
      </x:c>
      <x:c r="H751" s="12" t="str">
        <x:v>WAS restart, worker kill, cancel, resume를 검증한다.</x:v>
      </x:c>
      <x:c r="I751" s="12" t="str">
        <x:v>ADM/BZA bulk upload</x:v>
      </x:c>
      <x:c r="J751" s="12" t="str">
        <x:v>CPF-QA-D04-ACT-008</x:v>
      </x:c>
      <x:c r="K751" s="12" t="str"/>
      <x:c r="L751" s="12" t="str">
        <x:v>Browser/API/DB/File/Security</x:v>
      </x:c>
    </x:row>
    <x:row r="752">
      <x:c r="A752" s="12" t="str">
        <x:v>CPF-QA-D04-XLUP-013</x:v>
      </x:c>
      <x:c r="B752" s="12" t="str">
        <x:v>XLUP</x:v>
      </x:c>
      <x:c r="C752" s="12" t="str">
        <x:v>WP20</x:v>
      </x:c>
      <x:c r="D752" s="12" t="str">
        <x:v>재확인 필요</x:v>
      </x:c>
      <x:c r="E752" s="12" t="str">
        <x:v>P0</x:v>
      </x:c>
      <x:c r="F752" s="12" t="str">
        <x:v>Approval·Permission</x:v>
      </x:c>
      <x:c r="G752" s="12" t="str">
        <x:v>UPLOAD, UPLOAD_APPLY, ERROR_FILE 권한과 reason, approval, expectedVersion을 강제한다.</x:v>
      </x:c>
      <x:c r="H752" s="12" t="str">
        <x:v>direct API, 만료 승인, 타조직 파일 적용을 검증한다.</x:v>
      </x:c>
      <x:c r="I752" s="12" t="str">
        <x:v>ADM/BZA bulk upload</x:v>
      </x:c>
      <x:c r="J752" s="12" t="str">
        <x:v>CPF-QA-D04-ACT-008</x:v>
      </x:c>
      <x:c r="K752" s="12" t="str"/>
      <x:c r="L752" s="12" t="str">
        <x:v>Browser/API/DB/File/Security</x:v>
      </x:c>
    </x:row>
    <x:row r="753">
      <x:c r="A753" s="12" t="str">
        <x:v>CPF-QA-D04-XLUP-014</x:v>
      </x:c>
      <x:c r="B753" s="12" t="str">
        <x:v>XLUP</x:v>
      </x:c>
      <x:c r="C753" s="12" t="str">
        <x:v>WP20</x:v>
      </x:c>
      <x:c r="D753" s="12" t="str">
        <x:v>재확인 필요</x:v>
      </x:c>
      <x:c r="E753" s="12" t="str">
        <x:v>P0</x:v>
      </x:c>
      <x:c r="F753" s="12" t="str">
        <x:v>Retry·Reprocess·Rollback</x:v>
      </x:c>
      <x:c r="G753" s="12" t="str">
        <x:v>실패행 선택 재처리, 전체 재실행, compensating rollback 또는 forward recovery를 제공한다.</x:v>
      </x:c>
      <x:c r="H753" s="12" t="str">
        <x:v>중복 side effect 0과 Attempt history를 검증한다.</x:v>
      </x:c>
      <x:c r="I753" s="12" t="str">
        <x:v>ADM/BZA bulk upload</x:v>
      </x:c>
      <x:c r="J753" s="12" t="str">
        <x:v>CPF-QA-D04-ACT-008</x:v>
      </x:c>
      <x:c r="K753" s="12" t="str"/>
      <x:c r="L753" s="12" t="str">
        <x:v>Browser/API/DB/File/Security</x:v>
      </x:c>
    </x:row>
    <x:row r="754">
      <x:c r="A754" s="12" t="str">
        <x:v>CPF-QA-D04-XLUP-015</x:v>
      </x:c>
      <x:c r="B754" s="12" t="str">
        <x:v>XLUP</x:v>
      </x:c>
      <x:c r="C754" s="12" t="str">
        <x:v>WP20</x:v>
      </x:c>
      <x:c r="D754" s="12" t="str">
        <x:v>재확인 필요</x:v>
      </x:c>
      <x:c r="E754" s="12" t="str">
        <x:v>P0</x:v>
      </x:c>
      <x:c r="F754" s="12" t="str">
        <x:v>원본 파일 Retention</x:v>
      </x:c>
      <x:c r="G754" s="12" t="str">
        <x:v>원본·정상·오류 파일의 암호화, 보존, 법적보존, 자동폐기, virus 재검사를 관리한다.</x:v>
      </x:c>
      <x:c r="H754" s="12" t="str">
        <x:v>retention 만료와 legal hold 충돌을 검증한다.</x:v>
      </x:c>
      <x:c r="I754" s="12" t="str">
        <x:v>ADM/BZA bulk upload</x:v>
      </x:c>
      <x:c r="J754" s="12" t="str">
        <x:v>CPF-QA-D04-ACT-008</x:v>
      </x:c>
      <x:c r="K754" s="12" t="str"/>
      <x:c r="L754" s="12" t="str">
        <x:v>Browser/API/DB/File/Security</x:v>
      </x:c>
    </x:row>
    <x:row r="755">
      <x:c r="A755" s="12" t="str">
        <x:v>CPF-QA-D04-XLUP-016</x:v>
      </x:c>
      <x:c r="B755" s="12" t="str">
        <x:v>XLUP</x:v>
      </x:c>
      <x:c r="C755" s="12" t="str">
        <x:v>WP20</x:v>
      </x:c>
      <x:c r="D755" s="12" t="str">
        <x:v>재확인 필요</x:v>
      </x:c>
      <x:c r="E755" s="12" t="str">
        <x:v>P0</x:v>
      </x:c>
      <x:c r="F755" s="12" t="str">
        <x:v>Upload Audit·Evidence</x:v>
      </x:c>
      <x:c r="G755" s="12" t="str">
        <x:v>file hash, template version, requester/approver, row summary, operation, DB result, cleanup을 감사한다.</x:v>
      </x:c>
      <x:c r="H755" s="12" t="str">
        <x:v>Evidence에 원문 개인정보를 남기지 않는지 검증한다.</x:v>
      </x:c>
      <x:c r="I755" s="12" t="str">
        <x:v>ADM/BZA bulk upload</x:v>
      </x:c>
      <x:c r="J755" s="12" t="str">
        <x:v>CPF-QA-D04-ACT-008</x:v>
      </x:c>
      <x:c r="K755" s="12" t="str"/>
      <x:c r="L755" s="12" t="str">
        <x:v>Browser/API/DB/File/Security</x:v>
      </x:c>
    </x:row>
    <x:row r="756">
      <x:c r="A756" s="12" t="str">
        <x:v>CPF-QA-D04-RTCRES-001</x:v>
      </x:c>
      <x:c r="B756" s="12" t="str">
        <x:v>RTCRES</x:v>
      </x:c>
      <x:c r="C756" s="12" t="str">
        <x:v>WP21</x:v>
      </x:c>
      <x:c r="D756" s="12" t="str">
        <x:v>부분 구현</x:v>
      </x:c>
      <x:c r="E756" s="12" t="str">
        <x:v>P0</x:v>
      </x:c>
      <x:c r="F756" s="12" t="str">
        <x:v>대상별 Runtime Result 계약</x:v>
      </x:c>
      <x:c r="G756" s="12" t="str">
        <x:v>Change 전체 집계 외에 instance/service/domain별 delivery, ack, apply, version, failure, retry, rollback, reconcile 결과를 Public API로 제공한다.</x:v>
      </x:c>
      <x:c r="H756" s="12" t="str">
        <x:v>부분 성공과 대상별 조회 API Contract Test를 수행한다.</x:v>
      </x:c>
      <x:c r="I756" s="12" t="str">
        <x:v>Runtime Control Plane</x:v>
      </x:c>
      <x:c r="J756" s="12" t="str">
        <x:v>CPF-QA-D04-ACT-005</x:v>
      </x:c>
      <x:c r="K756" s="12" t="str">
        <x:v>기존 lease·fencing·ACK</x:v>
      </x:c>
      <x:c r="L756" s="12" t="str">
        <x:v>Multi-instance/Browser/DB</x:v>
      </x:c>
    </x:row>
    <x:row r="757">
      <x:c r="A757" s="12" t="str">
        <x:v>CPF-QA-D04-RTCRES-002</x:v>
      </x:c>
      <x:c r="B757" s="12" t="str">
        <x:v>RTCRES</x:v>
      </x:c>
      <x:c r="C757" s="12" t="str">
        <x:v>WP21</x:v>
      </x:c>
      <x:c r="D757" s="12" t="str">
        <x:v>부분 구현</x:v>
      </x:c>
      <x:c r="E757" s="12" t="str">
        <x:v>P0</x:v>
      </x:c>
      <x:c r="F757" s="12" t="str">
        <x:v>Failure Stage 표준</x:v>
      </x:c>
      <x:c r="G757" s="12" t="str">
        <x:v>TARGET_SELECTION, VALIDATION, AUTHORIZATION, APPROVAL, CAS, DELIVERY, OFFLINE, CONNECT, TIMEOUT, APPLY, HEALTH_GATE, ACK_LOST, DRIFT, RETRY_EXHAUSTED, ROLLBACK, RECONCILE, UNKNOWN을 표준화한다.</x:v>
      </x:c>
      <x:c r="H757" s="12" t="str">
        <x:v>각 단계 fault injection과 UI 표시를 검증한다.</x:v>
      </x:c>
      <x:c r="I757" s="12" t="str">
        <x:v>Runtime Control Plane</x:v>
      </x:c>
      <x:c r="J757" s="12" t="str">
        <x:v>CPF-QA-D04-ACT-005</x:v>
      </x:c>
      <x:c r="K757" s="12" t="str">
        <x:v>기존 lease·fencing·ACK</x:v>
      </x:c>
      <x:c r="L757" s="12" t="str">
        <x:v>Multi-instance/Browser/DB</x:v>
      </x:c>
    </x:row>
    <x:row r="758">
      <x:c r="A758" s="12" t="str">
        <x:v>CPF-QA-D04-RTCRES-003</x:v>
      </x:c>
      <x:c r="B758" s="12" t="str">
        <x:v>RTCRES</x:v>
      </x:c>
      <x:c r="C758" s="12" t="str">
        <x:v>WP21</x:v>
      </x:c>
      <x:c r="D758" s="12" t="str">
        <x:v>부분 구현</x:v>
      </x:c>
      <x:c r="E758" s="12" t="str">
        <x:v>P0</x:v>
      </x:c>
      <x:c r="F758" s="12" t="str">
        <x:v>Error Code·Masked Reason</x:v>
      </x:c>
      <x:c r="G758" s="12" t="str">
        <x:v>기계 판정 가능한 errorCode와 마스킹된 운영자 메시지, correlationId, 권장 조치를 제공한다.</x:v>
      </x:c>
      <x:c r="H758" s="12" t="str">
        <x:v>PII/Secret/stack trace leak를 검증한다.</x:v>
      </x:c>
      <x:c r="I758" s="12" t="str">
        <x:v>Runtime Control Plane</x:v>
      </x:c>
      <x:c r="J758" s="12" t="str">
        <x:v>CPF-QA-D04-ACT-005</x:v>
      </x:c>
      <x:c r="K758" s="12" t="str">
        <x:v>기존 lease·fencing·ACK</x:v>
      </x:c>
      <x:c r="L758" s="12" t="str">
        <x:v>Multi-instance/Browser/DB</x:v>
      </x:c>
    </x:row>
    <x:row r="759">
      <x:c r="A759" s="12" t="str">
        <x:v>CPF-QA-D04-RTCRES-004</x:v>
      </x:c>
      <x:c r="B759" s="12" t="str">
        <x:v>RTCRES</x:v>
      </x:c>
      <x:c r="C759" s="12" t="str">
        <x:v>WP21</x:v>
      </x:c>
      <x:c r="D759" s="12" t="str">
        <x:v>재확인 필요</x:v>
      </x:c>
      <x:c r="E759" s="12" t="str">
        <x:v>P0</x:v>
      </x:c>
      <x:c r="F759" s="12" t="str">
        <x:v>Retryable 판정</x:v>
      </x:c>
      <x:c r="G759" s="12" t="str">
        <x:v>오류별 retryable, nextRetryAt, maxAttempts, retry budget과 unknown 자동 재시도 금지를 제공한다.</x:v>
      </x:c>
      <x:c r="H759" s="12" t="str">
        <x:v>transient/permanent/unknown 오류를 검증한다.</x:v>
      </x:c>
      <x:c r="I759" s="12" t="str">
        <x:v>Runtime Control Plane</x:v>
      </x:c>
      <x:c r="J759" s="12" t="str">
        <x:v>CPF-QA-D04-ACT-005</x:v>
      </x:c>
      <x:c r="K759" s="12" t="str">
        <x:v>기존 lease·fencing·ACK</x:v>
      </x:c>
      <x:c r="L759" s="12" t="str">
        <x:v>Multi-instance/Browser/DB</x:v>
      </x:c>
    </x:row>
    <x:row r="760">
      <x:c r="A760" s="12" t="str">
        <x:v>CPF-QA-D04-RTCRES-005</x:v>
      </x:c>
      <x:c r="B760" s="12" t="str">
        <x:v>RTCRES</x:v>
      </x:c>
      <x:c r="C760" s="12" t="str">
        <x:v>WP21</x:v>
      </x:c>
      <x:c r="D760" s="12" t="str">
        <x:v>부분 구현</x:v>
      </x:c>
      <x:c r="E760" s="12" t="str">
        <x:v>P0</x:v>
      </x:c>
      <x:c r="F760" s="12" t="str">
        <x:v>Attempt History 불변 보존</x:v>
      </x:c>
      <x:c r="G760" s="12" t="str">
        <x:v>retry 성공 후 최초 실패, worker, lease, timestamps, provider/runtime response를 덮어쓰지 않는다.</x:v>
      </x:c>
      <x:c r="H760" s="12" t="str">
        <x:v>여러 attempt와 restart 후 조회를 검증한다.</x:v>
      </x:c>
      <x:c r="I760" s="12" t="str">
        <x:v>Runtime Control Plane</x:v>
      </x:c>
      <x:c r="J760" s="12" t="str">
        <x:v>CPF-QA-D04-ACT-005</x:v>
      </x:c>
      <x:c r="K760" s="12" t="str">
        <x:v>기존 lease·fencing·ACK</x:v>
      </x:c>
      <x:c r="L760" s="12" t="str">
        <x:v>Multi-instance/Browser/DB</x:v>
      </x:c>
    </x:row>
    <x:row r="761">
      <x:c r="A761" s="12" t="str">
        <x:v>CPF-QA-D04-RTCRES-006</x:v>
      </x:c>
      <x:c r="B761" s="12" t="str">
        <x:v>RTCRES</x:v>
      </x:c>
      <x:c r="C761" s="12" t="str">
        <x:v>WP21</x:v>
      </x:c>
      <x:c r="D761" s="12" t="str">
        <x:v>재확인 필요</x:v>
      </x:c>
      <x:c r="E761" s="12" t="str">
        <x:v>P0</x:v>
      </x:c>
      <x:c r="F761" s="12" t="str">
        <x:v>Target Snapshot 불변성</x:v>
      </x:c>
      <x:c r="G761" s="12" t="str">
        <x:v>Preview와 승인 시점의 대상 snapshot/hash를 저장하고 실행 중 membership 변경과 분리한다.</x:v>
      </x:c>
      <x:c r="H761" s="12" t="str">
        <x:v>새 instance 추가/제거 중 rollout을 검증한다.</x:v>
      </x:c>
      <x:c r="I761" s="12" t="str">
        <x:v>Runtime Control Plane</x:v>
      </x:c>
      <x:c r="J761" s="12" t="str">
        <x:v>CPF-QA-D04-ACT-005</x:v>
      </x:c>
      <x:c r="K761" s="12" t="str">
        <x:v>기존 lease·fencing·ACK</x:v>
      </x:c>
      <x:c r="L761" s="12" t="str">
        <x:v>Multi-instance/Browser/DB</x:v>
      </x:c>
    </x:row>
    <x:row r="762">
      <x:c r="A762" s="12" t="str">
        <x:v>CPF-QA-D04-RTCRES-007</x:v>
      </x:c>
      <x:c r="B762" s="12" t="str">
        <x:v>RTCRES</x:v>
      </x:c>
      <x:c r="C762" s="12" t="str">
        <x:v>WP21</x:v>
      </x:c>
      <x:c r="D762" s="12" t="str">
        <x:v>재확인 필요</x:v>
      </x:c>
      <x:c r="E762" s="12" t="str">
        <x:v>P0</x:v>
      </x:c>
      <x:c r="F762" s="12" t="str">
        <x:v>Approval 실효성</x:v>
      </x:c>
      <x:c r="G762" s="12" t="str">
        <x:v>approvalId 존재 문자열 확인이 아니라 상태, quorum, expiry, requester, target hash, payload hash, environment, 1회 사용을 검증한다.</x:v>
      </x:c>
      <x:c r="H762" s="12" t="str">
        <x:v>위조/만료/재사용/self approval를 검증한다.</x:v>
      </x:c>
      <x:c r="I762" s="12" t="str">
        <x:v>Runtime Control Plane</x:v>
      </x:c>
      <x:c r="J762" s="12" t="str">
        <x:v>CPF-QA-D04-ACT-005</x:v>
      </x:c>
      <x:c r="K762" s="12" t="str">
        <x:v>기존 lease·fencing·ACK</x:v>
      </x:c>
      <x:c r="L762" s="12" t="str">
        <x:v>Multi-instance/Browser/DB</x:v>
      </x:c>
    </x:row>
    <x:row r="763">
      <x:c r="A763" s="12" t="str">
        <x:v>CPF-QA-D04-RTCRES-008</x:v>
      </x:c>
      <x:c r="B763" s="12" t="str">
        <x:v>RTCRES</x:v>
      </x:c>
      <x:c r="C763" s="12" t="str">
        <x:v>WP21</x:v>
      </x:c>
      <x:c r="D763" s="12" t="str">
        <x:v>재확인 필요</x:v>
      </x:c>
      <x:c r="E763" s="12" t="str">
        <x:v>P0</x:v>
      </x:c>
      <x:c r="F763" s="12" t="str">
        <x:v>Break-glass 상한</x:v>
      </x:c>
      <x:c r="G763" s="12" t="str">
        <x:v>break-glass는 별도 권한, 짧은 TTL, 대상·기능 상한, 사후 승인과 alert를 강제한다.</x:v>
      </x:c>
      <x:c r="H763" s="12" t="str">
        <x:v>상한 초과, 만료, 원문 Secret 노출을 검증한다.</x:v>
      </x:c>
      <x:c r="I763" s="12" t="str">
        <x:v>Runtime Control Plane</x:v>
      </x:c>
      <x:c r="J763" s="12" t="str">
        <x:v>CPF-QA-D04-ACT-005</x:v>
      </x:c>
      <x:c r="K763" s="12" t="str">
        <x:v>기존 lease·fencing·ACK</x:v>
      </x:c>
      <x:c r="L763" s="12" t="str">
        <x:v>Multi-instance/Browser/DB</x:v>
      </x:c>
    </x:row>
    <x:row r="764">
      <x:c r="A764" s="12" t="str">
        <x:v>CPF-QA-D04-RTCRES-009</x:v>
      </x:c>
      <x:c r="B764" s="12" t="str">
        <x:v>RTCRES</x:v>
      </x:c>
      <x:c r="C764" s="12" t="str">
        <x:v>WP21</x:v>
      </x:c>
      <x:c r="D764" s="12" t="str">
        <x:v>재확인 필요</x:v>
      </x:c>
      <x:c r="E764" s="12" t="str">
        <x:v>P0</x:v>
      </x:c>
      <x:c r="F764" s="12" t="str">
        <x:v>CAS·Request Hash</x:v>
      </x:c>
      <x:c r="G764" s="12" t="str">
        <x:v>operationId, requestHash, expectedVersion으로 동일 요청 replay와 다른 payload 충돌을 구분한다.</x:v>
      </x:c>
      <x:c r="H764" s="12" t="str">
        <x:v>response loss와 concurrent change를 검증한다.</x:v>
      </x:c>
      <x:c r="I764" s="12" t="str">
        <x:v>Runtime Control Plane</x:v>
      </x:c>
      <x:c r="J764" s="12" t="str">
        <x:v>CPF-QA-D04-ACT-005</x:v>
      </x:c>
      <x:c r="K764" s="12" t="str">
        <x:v>기존 lease·fencing·ACK</x:v>
      </x:c>
      <x:c r="L764" s="12" t="str">
        <x:v>Multi-instance/Browser/DB</x:v>
      </x:c>
    </x:row>
    <x:row r="765">
      <x:c r="A765" s="12" t="str">
        <x:v>CPF-QA-D04-RTCRES-010</x:v>
      </x:c>
      <x:c r="B765" s="12" t="str">
        <x:v>RTCRES</x:v>
      </x:c>
      <x:c r="C765" s="12" t="str">
        <x:v>WP21</x:v>
      </x:c>
      <x:c r="D765" s="12" t="str">
        <x:v>부분 구현</x:v>
      </x:c>
      <x:c r="E765" s="12" t="str">
        <x:v>P0</x:v>
      </x:c>
      <x:c r="F765" s="12" t="str">
        <x:v>Desired·Actual 저장</x:v>
      </x:c>
      <x:c r="G765" s="12" t="str">
        <x:v>desired version/hash와 instance actual/ack를 durable하게 저장하고 controller 재기동 후 복구한다.</x:v>
      </x:c>
      <x:c r="H765" s="12" t="str">
        <x:v>DB/WAS restart와 stale ACK를 검증한다.</x:v>
      </x:c>
      <x:c r="I765" s="12" t="str">
        <x:v>Runtime Control Plane</x:v>
      </x:c>
      <x:c r="J765" s="12" t="str">
        <x:v>CPF-QA-D04-ACT-005</x:v>
      </x:c>
      <x:c r="K765" s="12" t="str">
        <x:v>기존 lease·fencing·ACK</x:v>
      </x:c>
      <x:c r="L765" s="12" t="str">
        <x:v>Multi-instance/Browser/DB</x:v>
      </x:c>
    </x:row>
    <x:row r="766">
      <x:c r="A766" s="12" t="str">
        <x:v>CPF-QA-D04-RTCRES-011</x:v>
      </x:c>
      <x:c r="B766" s="12" t="str">
        <x:v>RTCRES</x:v>
      </x:c>
      <x:c r="C766" s="12" t="str">
        <x:v>WP21</x:v>
      </x:c>
      <x:c r="D766" s="12" t="str">
        <x:v>재확인 필요</x:v>
      </x:c>
      <x:c r="E766" s="12" t="str">
        <x:v>P0</x:v>
      </x:c>
      <x:c r="F766" s="12" t="str">
        <x:v>Offline 복귀 Reconcile</x:v>
      </x:c>
      <x:c r="G766" s="12" t="str">
        <x:v>offline instance 복귀 시 missed delivery, snapshot, current desired를 비교해 안전하게 reconcile한다.</x:v>
      </x:c>
      <x:c r="H766" s="12" t="str">
        <x:v>retention 초과와 unsupported schema를 검증한다.</x:v>
      </x:c>
      <x:c r="I766" s="12" t="str">
        <x:v>Runtime Control Plane</x:v>
      </x:c>
      <x:c r="J766" s="12" t="str">
        <x:v>CPF-QA-D04-ACT-005</x:v>
      </x:c>
      <x:c r="K766" s="12" t="str">
        <x:v>기존 lease·fencing·ACK</x:v>
      </x:c>
      <x:c r="L766" s="12" t="str">
        <x:v>Multi-instance/Browser/DB</x:v>
      </x:c>
    </x:row>
    <x:row r="767">
      <x:c r="A767" s="12" t="str">
        <x:v>CPF-QA-D04-RTCRES-012</x:v>
      </x:c>
      <x:c r="B767" s="12" t="str">
        <x:v>RTCRES</x:v>
      </x:c>
      <x:c r="C767" s="12" t="str">
        <x:v>WP21</x:v>
      </x:c>
      <x:c r="D767" s="12" t="str">
        <x:v>재확인 필요</x:v>
      </x:c>
      <x:c r="E767" s="12" t="str">
        <x:v>P0</x:v>
      </x:c>
      <x:c r="F767" s="12" t="str">
        <x:v>Rollback·Forward Recovery</x:v>
      </x:c>
      <x:c r="G767" s="12" t="str">
        <x:v>exact rollback 가능성과 forward recovery를 구분하고 대상별 결과와 부분 실패를 제공한다.</x:v>
      </x:c>
      <x:c r="H767" s="12" t="str">
        <x:v>rollback 자체 실패와 mixed version을 검증한다.</x:v>
      </x:c>
      <x:c r="I767" s="12" t="str">
        <x:v>Runtime Control Plane</x:v>
      </x:c>
      <x:c r="J767" s="12" t="str">
        <x:v>CPF-QA-D04-ACT-005</x:v>
      </x:c>
      <x:c r="K767" s="12" t="str">
        <x:v>기존 lease·fencing·ACK</x:v>
      </x:c>
      <x:c r="L767" s="12" t="str">
        <x:v>Multi-instance/Browser/DB</x:v>
      </x:c>
    </x:row>
    <x:row r="768">
      <x:c r="A768" s="12" t="str">
        <x:v>CPF-QA-D04-RTCRES-013</x:v>
      </x:c>
      <x:c r="B768" s="12" t="str">
        <x:v>RTCRES</x:v>
      </x:c>
      <x:c r="C768" s="12" t="str">
        <x:v>WP21</x:v>
      </x:c>
      <x:c r="D768" s="12" t="str">
        <x:v>재확인 필요</x:v>
      </x:c>
      <x:c r="E768" s="12" t="str">
        <x:v>P0</x:v>
      </x:c>
      <x:c r="F768" s="12" t="str">
        <x:v>Retry/Cancel/Rollback/Reconcile API</x:v>
      </x:c>
      <x:c r="G768" s="12" t="str">
        <x:v>전체·실패대상·개별대상 단위 운영 Command를 제공하고 독립 권한·사유·승인을 강제한다.</x:v>
      </x:c>
      <x:c r="H768" s="12" t="str">
        <x:v>직접 API와 idempotent replay를 검증한다.</x:v>
      </x:c>
      <x:c r="I768" s="12" t="str">
        <x:v>Runtime Control Plane</x:v>
      </x:c>
      <x:c r="J768" s="12" t="str">
        <x:v>CPF-QA-D04-ACT-005</x:v>
      </x:c>
      <x:c r="K768" s="12" t="str">
        <x:v>기존 lease·fencing·ACK</x:v>
      </x:c>
      <x:c r="L768" s="12" t="str">
        <x:v>Multi-instance/Browser/DB</x:v>
      </x:c>
    </x:row>
    <x:row r="769">
      <x:c r="A769" s="12" t="str">
        <x:v>CPF-QA-D04-RTCRES-014</x:v>
      </x:c>
      <x:c r="B769" s="12" t="str">
        <x:v>RTCRES</x:v>
      </x:c>
      <x:c r="C769" s="12" t="str">
        <x:v>WP21</x:v>
      </x:c>
      <x:c r="D769" s="12" t="str">
        <x:v>재확인 필요</x:v>
      </x:c>
      <x:c r="E769" s="12" t="str">
        <x:v>P0</x:v>
      </x:c>
      <x:c r="F769" s="12" t="str">
        <x:v>Restart Required 상태</x:v>
      </x:c>
      <x:c r="G769" s="12" t="str">
        <x:v>staged but restart required를 명확히 표시하고 재기동 전후 검증과 최종 ACK를 관리한다.</x:v>
      </x:c>
      <x:c r="H769" s="12" t="str">
        <x:v>restart 미실행, 실패, 반복 restart를 검증한다.</x:v>
      </x:c>
      <x:c r="I769" s="12" t="str">
        <x:v>Runtime Control Plane</x:v>
      </x:c>
      <x:c r="J769" s="12" t="str">
        <x:v>CPF-QA-D04-ACT-005</x:v>
      </x:c>
      <x:c r="K769" s="12" t="str">
        <x:v>기존 lease·fencing·ACK</x:v>
      </x:c>
      <x:c r="L769" s="12" t="str">
        <x:v>Multi-instance/Browser/DB</x:v>
      </x:c>
    </x:row>
    <x:row r="770">
      <x:c r="A770" s="12" t="str">
        <x:v>CPF-QA-D04-RTCRES-015</x:v>
      </x:c>
      <x:c r="B770" s="12" t="str">
        <x:v>RTCRES</x:v>
      </x:c>
      <x:c r="C770" s="12" t="str">
        <x:v>WP21</x:v>
      </x:c>
      <x:c r="D770" s="12" t="str">
        <x:v>부분 구현</x:v>
      </x:c>
      <x:c r="E770" s="12" t="str">
        <x:v>P0</x:v>
      </x:c>
      <x:c r="F770" s="12" t="str">
        <x:v>Runtime Control UI</x:v>
      </x:c>
      <x:c r="G770" s="12" t="str">
        <x:v>Tree 대상 선택, schema form, diff, rollout wave, progress, target result, error detail, timeline, recovery action을 제공한다.</x:v>
      </x:c>
      <x:c r="H770" s="12" t="str">
        <x:v>JSON 입력/출력만으로 완료하지 않고 Browser E2E를 수행한다.</x:v>
      </x:c>
      <x:c r="I770" s="12" t="str">
        <x:v>Runtime Control Plane</x:v>
      </x:c>
      <x:c r="J770" s="12" t="str">
        <x:v>CPF-QA-D04-ACT-005</x:v>
      </x:c>
      <x:c r="K770" s="12" t="str">
        <x:v>기존 lease·fencing·ACK</x:v>
      </x:c>
      <x:c r="L770" s="12" t="str">
        <x:v>Multi-instance/Browser/DB</x:v>
      </x:c>
    </x:row>
    <x:row r="771">
      <x:c r="A771" s="12" t="str">
        <x:v>CPF-QA-D04-RTCRES-016</x:v>
      </x:c>
      <x:c r="B771" s="12" t="str">
        <x:v>RTCRES</x:v>
      </x:c>
      <x:c r="C771" s="12" t="str">
        <x:v>WP21</x:v>
      </x:c>
      <x:c r="D771" s="12" t="str">
        <x:v>부분 구현</x:v>
      </x:c>
      <x:c r="E771" s="12" t="str">
        <x:v>P0</x:v>
      </x:c>
      <x:c r="F771" s="12" t="str">
        <x:v>Audit Hash-chain</x:v>
      </x:c>
      <x:c r="G771" s="12" t="str">
        <x:v>요청, 승인, 대상, delivery, result, operator action을 hash-chain 또는 동등 tamper evidence로 연결한다.</x:v>
      </x:c>
      <x:c r="H771" s="12" t="str">
        <x:v>변조·삭제·순서 변경 negative test를 수행한다.</x:v>
      </x:c>
      <x:c r="I771" s="12" t="str">
        <x:v>Runtime Control Plane</x:v>
      </x:c>
      <x:c r="J771" s="12" t="str">
        <x:v>CPF-QA-D04-ACT-005</x:v>
      </x:c>
      <x:c r="K771" s="12" t="str">
        <x:v>기존 lease·fencing·ACK</x:v>
      </x:c>
      <x:c r="L771" s="12" t="str">
        <x:v>Multi-instance/Browser/DB</x:v>
      </x:c>
    </x:row>
    <x:row r="772">
      <x:c r="A772" s="12" t="str">
        <x:v>CPF-QA-D04-RTCRES-017</x:v>
      </x:c>
      <x:c r="B772" s="12" t="str">
        <x:v>RTCRES</x:v>
      </x:c>
      <x:c r="C772" s="12" t="str">
        <x:v>WP21</x:v>
      </x:c>
      <x:c r="D772" s="12" t="str">
        <x:v>재확인 필요</x:v>
      </x:c>
      <x:c r="E772" s="12" t="str">
        <x:v>P0</x:v>
      </x:c>
      <x:c r="F772" s="12" t="str">
        <x:v>Log·Trace 연계</x:v>
      </x:c>
      <x:c r="G772" s="12" t="str">
        <x:v>각 대상 결과에서 관련 transactionId/traceId/correlationId/log bundle로 이동한다.</x:v>
      </x:c>
      <x:c r="H772" s="12" t="str">
        <x:v>다른 tenant/instance 로그 접근 권한을 검증한다.</x:v>
      </x:c>
      <x:c r="I772" s="12" t="str">
        <x:v>Runtime Control Plane</x:v>
      </x:c>
      <x:c r="J772" s="12" t="str">
        <x:v>CPF-QA-D04-ACT-005</x:v>
      </x:c>
      <x:c r="K772" s="12" t="str">
        <x:v>기존 lease·fencing·ACK</x:v>
      </x:c>
      <x:c r="L772" s="12" t="str">
        <x:v>Multi-instance/Browser/DB</x:v>
      </x:c>
    </x:row>
    <x:row r="773">
      <x:c r="A773" s="12" t="str">
        <x:v>CPF-QA-D04-RTCRES-018</x:v>
      </x:c>
      <x:c r="B773" s="12" t="str">
        <x:v>RTCRES</x:v>
      </x:c>
      <x:c r="C773" s="12" t="str">
        <x:v>WP21</x:v>
      </x:c>
      <x:c r="D773" s="12" t="str">
        <x:v>재확인 필요</x:v>
      </x:c>
      <x:c r="E773" s="12" t="str">
        <x:v>P0</x:v>
      </x:c>
      <x:c r="F773" s="12" t="str">
        <x:v>Multi-instance·Partial Failure Runtime Test</x:v>
      </x:c>
      <x:c r="G773" s="12" t="str">
        <x:v>2개 이상 controller/agent/instance에서 lease, fencing, duplicate delivery, order reversal, kill, network partition을 검증한다.</x:v>
      </x:c>
      <x:c r="H773" s="12" t="str">
        <x:v>최신 SHA 실제 process Evidence를 남긴다.</x:v>
      </x:c>
      <x:c r="I773" s="12" t="str">
        <x:v>Runtime Control Plane</x:v>
      </x:c>
      <x:c r="J773" s="12" t="str">
        <x:v>CPF-QA-D04-ACT-005</x:v>
      </x:c>
      <x:c r="K773" s="12" t="str">
        <x:v>기존 lease·fencing·ACK</x:v>
      </x:c>
      <x:c r="L773" s="12" t="str">
        <x:v>Multi-instance/Browser/DB</x:v>
      </x:c>
    </x:row>
    <x:row r="774">
      <x:c r="A774" s="12" t="str">
        <x:v>CPF-QA-D04-PKG-001</x:v>
      </x:c>
      <x:c r="B774" s="12" t="str">
        <x:v>PKG</x:v>
      </x:c>
      <x:c r="C774" s="12" t="str">
        <x:v>WP22</x:v>
      </x:c>
      <x:c r="D774" s="12" t="str">
        <x:v>재확인 필요</x:v>
      </x:c>
      <x:c r="E774" s="12" t="str">
        <x:v>P0</x:v>
      </x:c>
      <x:c r="F774" s="12" t="str">
        <x:v>기존 CPF 표준 우선</x:v>
      </x:c>
      <x:c r="G774" s="12" t="str">
        <x:v>최신 패키지·Module·Generator 정본을 먼저 확인하고 일반 Architecture 예시를 근거 없이 강제하지 않는다.</x:v>
      </x:c>
      <x:c r="H774" s="12" t="str">
        <x:v>정본 경로, 실제 tree, 차이와 ADR을 Evidence로 남긴다.</x:v>
      </x:c>
      <x:c r="I774" s="12" t="str">
        <x:v>Framework 전체·ACC/MBR/EXS/Generator</x:v>
      </x:c>
      <x:c r="J774" s="12" t="str"/>
      <x:c r="K774" s="12" t="str">
        <x:v>기존 CPF module ownership·generator golden</x:v>
      </x:c>
      <x:c r="L774" s="12" t="str">
        <x:v>Static/Build/Generator</x:v>
      </x:c>
    </x:row>
    <x:row r="775">
      <x:c r="A775" s="12" t="str">
        <x:v>CPF-QA-D04-PKG-002</x:v>
      </x:c>
      <x:c r="B775" s="12" t="str">
        <x:v>PKG</x:v>
      </x:c>
      <x:c r="C775" s="12" t="str">
        <x:v>WP22</x:v>
      </x:c>
      <x:c r="D775" s="12" t="str">
        <x:v>재확인 필요</x:v>
      </x:c>
      <x:c r="E775" s="12" t="str">
        <x:v>P0</x:v>
      </x:c>
      <x:c r="F775" s="12" t="str">
        <x:v>Module Ownership Matrix</x:v>
      </x:c>
      <x:c r="G775" s="12" t="str">
        <x:v>모든 기능의 Requirement/Source/DB/Runtime/UI/API/SPI/Test/Generator Owner와 Consumer를 매핑한다.</x:v>
      </x:c>
      <x:c r="H775" s="12" t="str">
        <x:v>Owner 없음·복수 Owner·역방향 의존 0건을 검증한다.</x:v>
      </x:c>
      <x:c r="I775" s="12" t="str">
        <x:v>Framework 전체·ACC/MBR/EXS/Generator</x:v>
      </x:c>
      <x:c r="J775" s="12" t="str"/>
      <x:c r="K775" s="12" t="str">
        <x:v>기존 CPF module ownership·generator golden</x:v>
      </x:c>
      <x:c r="L775" s="12" t="str">
        <x:v>Static/Build/Generator</x:v>
      </x:c>
    </x:row>
    <x:row r="776">
      <x:c r="A776" s="12" t="str">
        <x:v>CPF-QA-D04-PKG-003</x:v>
      </x:c>
      <x:c r="B776" s="12" t="str">
        <x:v>PKG</x:v>
      </x:c>
      <x:c r="C776" s="12" t="str">
        <x:v>WP22</x:v>
      </x:c>
      <x:c r="D776" s="12" t="str">
        <x:v>재확인 필요</x:v>
      </x:c>
      <x:c r="E776" s="12" t="str">
        <x:v>P0</x:v>
      </x:c>
      <x:c r="F776" s="12" t="str">
        <x:v>업무 기능별 Package 경계</x:v>
      </x:c>
      <x:c r="G776" s="12" t="str">
        <x:v>ACC·MBR·EXS는 실제 requirement/API/state/transaction/table/event/consumer를 기준으로 business feature를 도출한다.</x:v>
      </x:c>
      <x:c r="H776" s="12" t="str">
        <x:v>수평 controller/service/repository 거대 package와 기능 간 순환을 검증한다.</x:v>
      </x:c>
      <x:c r="I776" s="12" t="str">
        <x:v>Framework 전체·ACC/MBR/EXS/Generator</x:v>
      </x:c>
      <x:c r="J776" s="12" t="str"/>
      <x:c r="K776" s="12" t="str">
        <x:v>기존 CPF module ownership·generator golden</x:v>
      </x:c>
      <x:c r="L776" s="12" t="str">
        <x:v>Static/Build/Generator</x:v>
      </x:c>
    </x:row>
    <x:row r="777">
      <x:c r="A777" s="12" t="str">
        <x:v>CPF-QA-D04-PKG-004</x:v>
      </x:c>
      <x:c r="B777" s="12" t="str">
        <x:v>PKG</x:v>
      </x:c>
      <x:c r="C777" s="12" t="str">
        <x:v>WP22</x:v>
      </x:c>
      <x:c r="D777" s="12" t="str">
        <x:v>재확인 필요</x:v>
      </x:c>
      <x:c r="E777" s="12" t="str">
        <x:v>P0</x:v>
      </x:c>
      <x:c r="F777" s="12" t="str">
        <x:v>Public API·SPI·Internal</x:v>
      </x:c>
      <x:c r="G777" s="12" t="str">
        <x:v>외부 Module internal import, provider/vendor type public 노출, consumer 없는 SPI를 차단한다.</x:v>
      </x:c>
      <x:c r="H777" s="12" t="str">
        <x:v>ArchUnit/compile/API signature와 actual consumer를 검증한다.</x:v>
      </x:c>
      <x:c r="I777" s="12" t="str">
        <x:v>Framework 전체·ACC/MBR/EXS/Generator</x:v>
      </x:c>
      <x:c r="J777" s="12" t="str"/>
      <x:c r="K777" s="12" t="str">
        <x:v>기존 CPF module ownership·generator golden</x:v>
      </x:c>
      <x:c r="L777" s="12" t="str">
        <x:v>Static/Build/Generator</x:v>
      </x:c>
    </x:row>
    <x:row r="778">
      <x:c r="A778" s="12" t="str">
        <x:v>CPF-QA-D04-PKG-005</x:v>
      </x:c>
      <x:c r="B778" s="12" t="str">
        <x:v>PKG</x:v>
      </x:c>
      <x:c r="C778" s="12" t="str">
        <x:v>WP22</x:v>
      </x:c>
      <x:c r="D778" s="12" t="str">
        <x:v>재확인 필요</x:v>
      </x:c>
      <x:c r="E778" s="12" t="str">
        <x:v>P0</x:v>
      </x:c>
      <x:c r="F778" s="12" t="str">
        <x:v>Generated Domain normalized parity</x:v>
      </x:c>
      <x:c r="G778" s="12" t="str">
        <x:v>동일 capability의 ACC/MBR/EXS/임시 domain은 metadata를 정규화한 tree/hash가 일치해야 한다.</x:v>
      </x:c>
      <x:c r="H778" s="12" t="str">
        <x:v>pairwise hash, build, local/remote, DB, guide parity를 검증한다.</x:v>
      </x:c>
      <x:c r="I778" s="12" t="str">
        <x:v>Framework 전체·ACC/MBR/EXS/Generator</x:v>
      </x:c>
      <x:c r="J778" s="12" t="str"/>
      <x:c r="K778" s="12" t="str">
        <x:v>기존 CPF module ownership·generator golden</x:v>
      </x:c>
      <x:c r="L778" s="12" t="str">
        <x:v>Static/Build/Generator</x:v>
      </x:c>
    </x:row>
    <x:row r="779">
      <x:c r="A779" s="12" t="str">
        <x:v>CPF-QA-D04-PKG-006</x:v>
      </x:c>
      <x:c r="B779" s="12" t="str">
        <x:v>PKG</x:v>
      </x:c>
      <x:c r="C779" s="12" t="str">
        <x:v>WP22</x:v>
      </x:c>
      <x:c r="D779" s="12" t="str">
        <x:v>재확인 필요</x:v>
      </x:c>
      <x:c r="E779" s="12" t="str">
        <x:v>P0</x:v>
      </x:c>
      <x:c r="F779" s="12" t="str">
        <x:v>Reference와 Production Feature 분리</x:v>
      </x:c>
      <x:c r="G779" s="12" t="str">
        <x:v>.reference는 Golden/EDU 검증 전용으로 제한하고 실제 업무 기능 생성 Mode를 제공한다.</x:v>
      </x:c>
      <x:c r="H779" s="12" t="str">
        <x:v>production source의 reference package 유입 Gate를 검증한다.</x:v>
      </x:c>
      <x:c r="I779" s="12" t="str">
        <x:v>Framework 전체·ACC/MBR/EXS/Generator</x:v>
      </x:c>
      <x:c r="J779" s="12" t="str"/>
      <x:c r="K779" s="12" t="str">
        <x:v>기존 CPF module ownership·generator golden</x:v>
      </x:c>
      <x:c r="L779" s="12" t="str">
        <x:v>Static/Build/Generator</x:v>
      </x:c>
    </x:row>
    <x:row r="780">
      <x:c r="A780" s="12" t="str">
        <x:v>CPF-QA-D04-PKG-007</x:v>
      </x:c>
      <x:c r="B780" s="12" t="str">
        <x:v>PKG</x:v>
      </x:c>
      <x:c r="C780" s="12" t="str">
        <x:v>WP22</x:v>
      </x:c>
      <x:c r="D780" s="12" t="str">
        <x:v>재확인 필요</x:v>
      </x:c>
      <x:c r="E780" s="12" t="str">
        <x:v>P0</x:v>
      </x:c>
      <x:c r="F780" s="12" t="str">
        <x:v>Typed Contract</x:v>
      </x:c>
      <x:c r="G780" s="12" t="str">
        <x:v>Controller/Facade/Service/Port/Remote contract에 Map&lt;String,Object&gt;를 사용하지 않고 typed request/response/result를 생성한다.</x:v>
      </x:c>
      <x:c r="H780" s="12" t="str">
        <x:v>OpenAPI schema, serialization, local/remote parity를 검증한다.</x:v>
      </x:c>
      <x:c r="I780" s="12" t="str">
        <x:v>Framework 전체·ACC/MBR/EXS/Generator</x:v>
      </x:c>
      <x:c r="J780" s="12" t="str"/>
      <x:c r="K780" s="12" t="str">
        <x:v>기존 CPF module ownership·generator golden</x:v>
      </x:c>
      <x:c r="L780" s="12" t="str">
        <x:v>Static/Build/Generator</x:v>
      </x:c>
    </x:row>
    <x:row r="781">
      <x:c r="A781" s="12" t="str">
        <x:v>CPF-QA-D04-PKG-008</x:v>
      </x:c>
      <x:c r="B781" s="12" t="str">
        <x:v>PKG</x:v>
      </x:c>
      <x:c r="C781" s="12" t="str">
        <x:v>WP22</x:v>
      </x:c>
      <x:c r="D781" s="12" t="str">
        <x:v>재확인 필요</x:v>
      </x:c>
      <x:c r="E781" s="12" t="str">
        <x:v>P0</x:v>
      </x:c>
      <x:c r="F781" s="12" t="str">
        <x:v>Query·Command 책임</x:v>
      </x:c>
      <x:c r="G781" s="12" t="str">
        <x:v>상태 변경을 QueryPort에 두지 않고 Query/Command 또는 중립 Operations 계약으로 정리한다.</x:v>
      </x:c>
      <x:c r="H781" s="12" t="str">
        <x:v>method naming과 transaction annotation을 검증한다.</x:v>
      </x:c>
      <x:c r="I781" s="12" t="str">
        <x:v>Framework 전체·ACC/MBR/EXS/Generator</x:v>
      </x:c>
      <x:c r="J781" s="12" t="str"/>
      <x:c r="K781" s="12" t="str">
        <x:v>기존 CPF module ownership·generator golden</x:v>
      </x:c>
      <x:c r="L781" s="12" t="str">
        <x:v>Static/Build/Generator</x:v>
      </x:c>
    </x:row>
    <x:row r="782">
      <x:c r="A782" s="12" t="str">
        <x:v>CPF-QA-D04-PKG-009</x:v>
      </x:c>
      <x:c r="B782" s="12" t="str">
        <x:v>PKG</x:v>
      </x:c>
      <x:c r="C782" s="12" t="str">
        <x:v>WP22</x:v>
      </x:c>
      <x:c r="D782" s="12" t="str">
        <x:v>재확인 필요</x:v>
      </x:c>
      <x:c r="E782" s="12" t="str">
        <x:v>P0</x:v>
      </x:c>
      <x:c r="F782" s="12" t="str">
        <x:v>Facade 생성 기준</x:v>
      </x:c>
      <x:c r="G782" s="12" t="str">
        <x:v>복합 orchestration이 없는 단순 통과 Facade를 기계적으로 생성하지 않는다.</x:v>
      </x:c>
      <x:c r="H782" s="12" t="str">
        <x:v>consumer와 역할 없는 facade 후보를 탐지한다.</x:v>
      </x:c>
      <x:c r="I782" s="12" t="str">
        <x:v>Framework 전체·ACC/MBR/EXS/Generator</x:v>
      </x:c>
      <x:c r="J782" s="12" t="str"/>
      <x:c r="K782" s="12" t="str">
        <x:v>기존 CPF module ownership·generator golden</x:v>
      </x:c>
      <x:c r="L782" s="12" t="str">
        <x:v>Static/Build/Generator</x:v>
      </x:c>
    </x:row>
    <x:row r="783">
      <x:c r="A783" s="12" t="str">
        <x:v>CPF-QA-D04-PKG-010</x:v>
      </x:c>
      <x:c r="B783" s="12" t="str">
        <x:v>PKG</x:v>
      </x:c>
      <x:c r="C783" s="12" t="str">
        <x:v>WP22</x:v>
      </x:c>
      <x:c r="D783" s="12" t="str">
        <x:v>재확인 필요</x:v>
      </x:c>
      <x:c r="E783" s="12" t="str">
        <x:v>P0</x:v>
      </x:c>
      <x:c r="F783" s="12" t="str">
        <x:v>Domain Manifest 강화</x:v>
      </x:c>
      <x:c r="G783" s="12" t="str">
        <x:v>schemaVersion, generatorVersion, templateVersion, base CPF SHA/version, capability, package standard, DB, migration baseline, managed/customer paths, normalized hash를 기록한다.</x:v>
      </x:c>
      <x:c r="H783" s="12" t="str">
        <x:v>manifest validation과 upgrade history를 검증한다.</x:v>
      </x:c>
      <x:c r="I783" s="12" t="str">
        <x:v>Framework 전체·ACC/MBR/EXS/Generator</x:v>
      </x:c>
      <x:c r="J783" s="12" t="str"/>
      <x:c r="K783" s="12" t="str">
        <x:v>기존 CPF module ownership·generator golden</x:v>
      </x:c>
      <x:c r="L783" s="12" t="str">
        <x:v>Static/Build/Generator</x:v>
      </x:c>
    </x:row>
    <x:row r="784">
      <x:c r="A784" s="12" t="str">
        <x:v>CPF-QA-D04-PKG-011</x:v>
      </x:c>
      <x:c r="B784" s="12" t="str">
        <x:v>PKG</x:v>
      </x:c>
      <x:c r="C784" s="12" t="str">
        <x:v>WP22</x:v>
      </x:c>
      <x:c r="D784" s="12" t="str">
        <x:v>재확인 필요</x:v>
      </x:c>
      <x:c r="E784" s="12" t="str">
        <x:v>P0</x:v>
      </x:c>
      <x:c r="F784" s="12" t="str">
        <x:v>Generator 관리영역</x:v>
      </x:c>
      <x:c r="G784" s="12" t="str">
        <x:v>Generator-owned와 customer-owned 경로를 구분하고 재생성 시 사용자 코드를 덮어쓰지 않는다.</x:v>
      </x:c>
      <x:c r="H784" s="12" t="str">
        <x:v>수정 파일 재생성, merge conflict, dry-run을 검증한다.</x:v>
      </x:c>
      <x:c r="I784" s="12" t="str">
        <x:v>Framework 전체·ACC/MBR/EXS/Generator</x:v>
      </x:c>
      <x:c r="J784" s="12" t="str"/>
      <x:c r="K784" s="12" t="str">
        <x:v>기존 CPF module ownership·generator golden</x:v>
      </x:c>
      <x:c r="L784" s="12" t="str">
        <x:v>Static/Build/Generator</x:v>
      </x:c>
    </x:row>
    <x:row r="785">
      <x:c r="A785" s="12" t="str">
        <x:v>CPF-QA-D04-PKG-012</x:v>
      </x:c>
      <x:c r="B785" s="12" t="str">
        <x:v>PKG</x:v>
      </x:c>
      <x:c r="C785" s="12" t="str">
        <x:v>WP22</x:v>
      </x:c>
      <x:c r="D785" s="12" t="str">
        <x:v>재확인 필요</x:v>
      </x:c>
      <x:c r="E785" s="12" t="str">
        <x:v>P0</x:v>
      </x:c>
      <x:c r="F785" s="12" t="str">
        <x:v>Generator-first 변경</x:v>
      </x:c>
      <x:c r="G785" s="12" t="str">
        <x:v>공통 구조 문제는 Template/Test를 먼저 또는 동시에 수정하고 ACC/MBR/EXS를 이관한다.</x:v>
      </x:c>
      <x:c r="H785" s="12" t="str">
        <x:v>특정 domain 수동 patch와 drift를 차단한다.</x:v>
      </x:c>
      <x:c r="I785" s="12" t="str">
        <x:v>Framework 전체·ACC/MBR/EXS/Generator</x:v>
      </x:c>
      <x:c r="J785" s="12" t="str"/>
      <x:c r="K785" s="12" t="str">
        <x:v>기존 CPF module ownership·generator golden</x:v>
      </x:c>
      <x:c r="L785" s="12" t="str">
        <x:v>Static/Build/Generator</x:v>
      </x:c>
    </x:row>
    <x:row r="786">
      <x:c r="A786" s="12" t="str">
        <x:v>CPF-QA-D04-PKG-013</x:v>
      </x:c>
      <x:c r="B786" s="12" t="str">
        <x:v>PKG</x:v>
      </x:c>
      <x:c r="C786" s="12" t="str">
        <x:v>WP22</x:v>
      </x:c>
      <x:c r="D786" s="12" t="str">
        <x:v>재확인 필요</x:v>
      </x:c>
      <x:c r="E786" s="12" t="str">
        <x:v>P0</x:v>
      </x:c>
      <x:c r="F786" s="12" t="str">
        <x:v>Local·Remote 동일 Contract</x:v>
      </x:c>
      <x:c r="G786" s="12" t="str">
        <x:v>동일 JVM은 local facade, 분리 WAS는 remote adapter를 사용하되 DTO/error/header/trace/idempotency를 공유한다.</x:v>
      </x:c>
      <x:c r="H786" s="12" t="str">
        <x:v>HTTP loopback 금지와 topology parity를 검증한다.</x:v>
      </x:c>
      <x:c r="I786" s="12" t="str">
        <x:v>Framework 전체·ACC/MBR/EXS/Generator</x:v>
      </x:c>
      <x:c r="J786" s="12" t="str"/>
      <x:c r="K786" s="12" t="str">
        <x:v>기존 CPF module ownership·generator golden</x:v>
      </x:c>
      <x:c r="L786" s="12" t="str">
        <x:v>Static/Build/Generator</x:v>
      </x:c>
    </x:row>
    <x:row r="787">
      <x:c r="A787" s="12" t="str">
        <x:v>CPF-QA-D04-PKG-014</x:v>
      </x:c>
      <x:c r="B787" s="12" t="str">
        <x:v>PKG</x:v>
      </x:c>
      <x:c r="C787" s="12" t="str">
        <x:v>WP22</x:v>
      </x:c>
      <x:c r="D787" s="12" t="str">
        <x:v>재확인 필요</x:v>
      </x:c>
      <x:c r="E787" s="12" t="str">
        <x:v>P0</x:v>
      </x:c>
      <x:c r="F787" s="12" t="str">
        <x:v>Feature 간 Repository 직접 참조 금지</x:v>
      </x:c>
      <x:c r="G787" s="12" t="str">
        <x:v>다른 feature의 repository/entity를 직접 주입하지 않고 public application contract/event를 사용한다.</x:v>
      </x:c>
      <x:c r="H787" s="12" t="str">
        <x:v>dependency graph와 transaction boundary를 검증한다.</x:v>
      </x:c>
      <x:c r="I787" s="12" t="str">
        <x:v>Framework 전체·ACC/MBR/EXS/Generator</x:v>
      </x:c>
      <x:c r="J787" s="12" t="str"/>
      <x:c r="K787" s="12" t="str">
        <x:v>기존 CPF module ownership·generator golden</x:v>
      </x:c>
      <x:c r="L787" s="12" t="str">
        <x:v>Static/Build/Generator</x:v>
      </x:c>
    </x:row>
    <x:row r="788">
      <x:c r="A788" s="12" t="str">
        <x:v>CPF-QA-D04-PKG-015</x:v>
      </x:c>
      <x:c r="B788" s="12" t="str">
        <x:v>PKG</x:v>
      </x:c>
      <x:c r="C788" s="12" t="str">
        <x:v>WP22</x:v>
      </x:c>
      <x:c r="D788" s="12" t="str">
        <x:v>재확인 필요</x:v>
      </x:c>
      <x:c r="E788" s="12" t="str">
        <x:v>P0</x:v>
      </x:c>
      <x:c r="F788" s="12" t="str">
        <x:v>common/util/helper/manager 오남용</x:v>
      </x:c>
      <x:c r="G788" s="12" t="str">
        <x:v>실제 업무 규칙을 generic package에 숨기지 않고 owner feature로 이관한다.</x:v>
      </x:c>
      <x:c r="H788" s="12" t="str">
        <x:v>단일 consumer 공통 class와 대형 helper를 탐지한다.</x:v>
      </x:c>
      <x:c r="I788" s="12" t="str">
        <x:v>Framework 전체·ACC/MBR/EXS/Generator</x:v>
      </x:c>
      <x:c r="J788" s="12" t="str"/>
      <x:c r="K788" s="12" t="str">
        <x:v>기존 CPF module ownership·generator golden</x:v>
      </x:c>
      <x:c r="L788" s="12" t="str">
        <x:v>Static/Build/Generator</x:v>
      </x:c>
    </x:row>
    <x:row r="789">
      <x:c r="A789" s="12" t="str">
        <x:v>CPF-QA-D04-PKG-016</x:v>
      </x:c>
      <x:c r="B789" s="12" t="str">
        <x:v>PKG</x:v>
      </x:c>
      <x:c r="C789" s="12" t="str">
        <x:v>WP22</x:v>
      </x:c>
      <x:c r="D789" s="12" t="str">
        <x:v>재확인 필요</x:v>
      </x:c>
      <x:c r="E789" s="12" t="str">
        <x:v>P1</x:v>
      </x:c>
      <x:c r="F789" s="12" t="str">
        <x:v>Frontend Feature Package</x:v>
      </x:c>
      <x:c r="G789" s="12" t="str">
        <x:v>ADM/BZA를 pages/components/api/state/model/permissions/tests 책임으로 나누고 기능 간 internal import를 제한한다.</x:v>
      </x:c>
      <x:c r="H789" s="12" t="str">
        <x:v>순환 import, 거대 Vue/TS, 전역 mixin 결합을 검증한다.</x:v>
      </x:c>
      <x:c r="I789" s="12" t="str">
        <x:v>Framework 전체·ACC/MBR/EXS/Generator</x:v>
      </x:c>
      <x:c r="J789" s="12" t="str"/>
      <x:c r="K789" s="12" t="str">
        <x:v>기존 CPF module ownership·generator golden</x:v>
      </x:c>
      <x:c r="L789" s="12" t="str">
        <x:v>Static/Build/Generator</x:v>
      </x:c>
    </x:row>
    <x:row r="790">
      <x:c r="A790" s="12" t="str">
        <x:v>CPF-QA-D04-PKG-017</x:v>
      </x:c>
      <x:c r="B790" s="12" t="str">
        <x:v>PKG</x:v>
      </x:c>
      <x:c r="C790" s="12" t="str">
        <x:v>WP22</x:v>
      </x:c>
      <x:c r="D790" s="12" t="str">
        <x:v>재확인 필요</x:v>
      </x:c>
      <x:c r="E790" s="12" t="str">
        <x:v>P1</x:v>
      </x:c>
      <x:c r="F790" s="12" t="str">
        <x:v>SQL·Test·Guide 구조 parity</x:v>
      </x:c>
      <x:c r="G790" s="12" t="str">
        <x:v>Source feature와 SQL, migration, seed, test, guide, evidence 경계를 동일하게 유지한다.</x:v>
      </x:c>
      <x:c r="H790" s="12" t="str">
        <x:v>삭제/이동 후 stale artifact와 package test parity를 검증한다.</x:v>
      </x:c>
      <x:c r="I790" s="12" t="str">
        <x:v>Framework 전체·ACC/MBR/EXS/Generator</x:v>
      </x:c>
      <x:c r="J790" s="12" t="str"/>
      <x:c r="K790" s="12" t="str">
        <x:v>기존 CPF module ownership·generator golden</x:v>
      </x:c>
      <x:c r="L790" s="12" t="str">
        <x:v>Static/Build/Generator</x:v>
      </x:c>
    </x:row>
    <x:row r="791">
      <x:c r="A791" s="12" t="str">
        <x:v>CPF-QA-D04-PKG-018</x:v>
      </x:c>
      <x:c r="B791" s="12" t="str">
        <x:v>PKG</x:v>
      </x:c>
      <x:c r="C791" s="12" t="str">
        <x:v>WP22</x:v>
      </x:c>
      <x:c r="D791" s="12" t="str">
        <x:v>재확인 필요</x:v>
      </x:c>
      <x:c r="E791" s="12" t="str">
        <x:v>P1</x:v>
      </x:c>
      <x:c r="F791" s="12" t="str">
        <x:v>Architecture Decision 절차</x:v>
      </x:c>
      <x:c r="G791" s="12" t="str">
        <x:v>기존 표준의 실제 문제가 있을 때 현행, 문제, 대안, migration, compatibility, generator 영향을 ADR로 결정한다.</x:v>
      </x:c>
      <x:c r="H791" s="12" t="str">
        <x:v>근거 없는 전면 재구조화와 legacy 장기 공존을 차단한다.</x:v>
      </x:c>
      <x:c r="I791" s="12" t="str">
        <x:v>Framework 전체·ACC/MBR/EXS/Generator</x:v>
      </x:c>
      <x:c r="J791" s="12" t="str"/>
      <x:c r="K791" s="12" t="str">
        <x:v>기존 CPF module ownership·generator golden</x:v>
      </x:c>
      <x:c r="L791" s="12" t="str">
        <x:v>Static/Build/Generator</x:v>
      </x:c>
    </x:row>
    <x:row r="792">
      <x:c r="A792" s="12" t="str">
        <x:v>CPF-QA-D04-HYG-001</x:v>
      </x:c>
      <x:c r="B792" s="12" t="str">
        <x:v>HYG</x:v>
      </x:c>
      <x:c r="C792" s="12" t="str">
        <x:v>WP23</x:v>
      </x:c>
      <x:c r="D792" s="12" t="str">
        <x:v>재확인 필요</x:v>
      </x:c>
      <x:c r="E792" s="12" t="str">
        <x:v>P0</x:v>
      </x:c>
      <x:c r="F792" s="12" t="str">
        <x:v>Semantic Consumer Graph</x:v>
      </x:c>
      <x:c r="G792" s="12" t="str">
        <x:v>정적 문자열뿐 아니라 compile, reflection, auto-configuration, service loader, mapper, route, seed, generator, docs consumer를 분석한다.</x:v>
      </x:c>
      <x:c r="H792" s="12" t="str">
        <x:v>후보별 consumer evidence를 생성한다.</x:v>
      </x:c>
      <x:c r="I792" s="12" t="str">
        <x:v>Repository 전체</x:v>
      </x:c>
      <x:c r="J792" s="12" t="str"/>
      <x:c r="K792" s="12" t="str">
        <x:v>Reflection/AutoConfiguration/Generator/Public API</x:v>
      </x:c>
      <x:c r="L792" s="12" t="str">
        <x:v>Static/Build/Runtime</x:v>
      </x:c>
    </x:row>
    <x:row r="793">
      <x:c r="A793" s="12" t="str">
        <x:v>CPF-QA-D04-HYG-002</x:v>
      </x:c>
      <x:c r="B793" s="12" t="str">
        <x:v>HYG</x:v>
      </x:c>
      <x:c r="C793" s="12" t="str">
        <x:v>WP23</x:v>
      </x:c>
      <x:c r="D793" s="12" t="str">
        <x:v>재확인 필요</x:v>
      </x:c>
      <x:c r="E793" s="12" t="str">
        <x:v>P0</x:v>
      </x:c>
      <x:c r="F793" s="12" t="str">
        <x:v>Dead Class·Interface·SPI</x:v>
      </x:c>
      <x:c r="G793" s="12" t="str">
        <x:v>미사용 class/DTO/enum, 구현·consumer 없는 interface/SPI를 유지·이관·삭제로 판정한다.</x:v>
      </x:c>
      <x:c r="H793" s="12" t="str">
        <x:v>삭제 후 full build와 runtime smoke를 검증한다.</x:v>
      </x:c>
      <x:c r="I793" s="12" t="str">
        <x:v>Repository 전체</x:v>
      </x:c>
      <x:c r="J793" s="12" t="str"/>
      <x:c r="K793" s="12" t="str">
        <x:v>Reflection/AutoConfiguration/Generator/Public API</x:v>
      </x:c>
      <x:c r="L793" s="12" t="str">
        <x:v>Static/Build/Runtime</x:v>
      </x:c>
    </x:row>
    <x:row r="794">
      <x:c r="A794" s="12" t="str">
        <x:v>CPF-QA-D04-HYG-003</x:v>
      </x:c>
      <x:c r="B794" s="12" t="str">
        <x:v>HYG</x:v>
      </x:c>
      <x:c r="C794" s="12" t="str">
        <x:v>WP23</x:v>
      </x:c>
      <x:c r="D794" s="12" t="str">
        <x:v>재확인 필요</x:v>
      </x:c>
      <x:c r="E794" s="12" t="str">
        <x:v>P0</x:v>
      </x:c>
      <x:c r="F794" s="12" t="str">
        <x:v>Legacy 이중구조 제거</x:v>
      </x:c>
      <x:c r="G794" s="12" t="str">
        <x:v>새 구조 이관 후 old package, compatibility wrapper, deprecated consumer를 제거한다.</x:v>
      </x:c>
      <x:c r="H794" s="12" t="str">
        <x:v>새·구 구조 동시 존재를 부분 구현으로 판정한다.</x:v>
      </x:c>
      <x:c r="I794" s="12" t="str">
        <x:v>Repository 전체</x:v>
      </x:c>
      <x:c r="J794" s="12" t="str"/>
      <x:c r="K794" s="12" t="str">
        <x:v>Reflection/AutoConfiguration/Generator/Public API</x:v>
      </x:c>
      <x:c r="L794" s="12" t="str">
        <x:v>Static/Build/Runtime</x:v>
      </x:c>
    </x:row>
    <x:row r="795">
      <x:c r="A795" s="12" t="str">
        <x:v>CPF-QA-D04-HYG-004</x:v>
      </x:c>
      <x:c r="B795" s="12" t="str">
        <x:v>HYG</x:v>
      </x:c>
      <x:c r="C795" s="12" t="str">
        <x:v>WP23</x:v>
      </x:c>
      <x:c r="D795" s="12" t="str">
        <x:v>재확인 필요</x:v>
      </x:c>
      <x:c r="E795" s="12" t="str">
        <x:v>P1</x:v>
      </x:c>
      <x:c r="F795" s="12" t="str">
        <x:v>중복 구현 제거</x:v>
      </x:c>
      <x:c r="G795" s="12" t="str">
        <x:v>동일 service/repository/adapter/DTO/state enum/UI component/SQL 복사본을 canonical owner로 통합한다.</x:v>
      </x:c>
      <x:c r="H795" s="12" t="str">
        <x:v>behavior parity와 regression을 검증한다.</x:v>
      </x:c>
      <x:c r="I795" s="12" t="str">
        <x:v>Repository 전체</x:v>
      </x:c>
      <x:c r="J795" s="12" t="str"/>
      <x:c r="K795" s="12" t="str">
        <x:v>Reflection/AutoConfiguration/Generator/Public API</x:v>
      </x:c>
      <x:c r="L795" s="12" t="str">
        <x:v>Static/Build/Runtime</x:v>
      </x:c>
    </x:row>
    <x:row r="796">
      <x:c r="A796" s="12" t="str">
        <x:v>CPF-QA-D04-HYG-005</x:v>
      </x:c>
      <x:c r="B796" s="12" t="str">
        <x:v>HYG</x:v>
      </x:c>
      <x:c r="C796" s="12" t="str">
        <x:v>WP23</x:v>
      </x:c>
      <x:c r="D796" s="12" t="str">
        <x:v>재확인 필요</x:v>
      </x:c>
      <x:c r="E796" s="12" t="str">
        <x:v>P0</x:v>
      </x:c>
      <x:c r="F796" s="12" t="str">
        <x:v>Frontend 고아 제거</x:v>
      </x:c>
      <x:c r="G796" s="12" t="str">
        <x:v>menu 없는 page, page 없는 route/menu, 제거 API button, 미사용 store/component/CSS를 제거한다.</x:v>
      </x:c>
      <x:c r="H796" s="12" t="str">
        <x:v>route/menu/API manifest와 build를 검증한다.</x:v>
      </x:c>
      <x:c r="I796" s="12" t="str">
        <x:v>Repository 전체</x:v>
      </x:c>
      <x:c r="J796" s="12" t="str"/>
      <x:c r="K796" s="12" t="str">
        <x:v>Reflection/AutoConfiguration/Generator/Public API</x:v>
      </x:c>
      <x:c r="L796" s="12" t="str">
        <x:v>Static/Build/Runtime</x:v>
      </x:c>
    </x:row>
    <x:row r="797">
      <x:c r="A797" s="12" t="str">
        <x:v>CPF-QA-D04-HYG-006</x:v>
      </x:c>
      <x:c r="B797" s="12" t="str">
        <x:v>HYG</x:v>
      </x:c>
      <x:c r="C797" s="12" t="str">
        <x:v>WP23</x:v>
      </x:c>
      <x:c r="D797" s="12" t="str">
        <x:v>재확인 필요</x:v>
      </x:c>
      <x:c r="E797" s="12" t="str">
        <x:v>P0</x:v>
      </x:c>
      <x:c r="F797" s="12" t="str">
        <x:v>DB Garbage 제거</x:v>
      </x:c>
      <x:c r="G797" s="12" t="str">
        <x:v>사용하지 않는 table/column/index/seed/runtime SQL, 잘못된 FK/index, 중복 migration을 정리한다.</x:v>
      </x:c>
      <x:c r="H797" s="12" t="str">
        <x:v>3 vendor canonical/migration/rollback parity를 검증한다.</x:v>
      </x:c>
      <x:c r="I797" s="12" t="str">
        <x:v>Repository 전체</x:v>
      </x:c>
      <x:c r="J797" s="12" t="str"/>
      <x:c r="K797" s="12" t="str">
        <x:v>Reflection/AutoConfiguration/Generator/Public API</x:v>
      </x:c>
      <x:c r="L797" s="12" t="str">
        <x:v>Static/Build/Runtime</x:v>
      </x:c>
    </x:row>
    <x:row r="798">
      <x:c r="A798" s="12" t="str">
        <x:v>CPF-QA-D04-HYG-007</x:v>
      </x:c>
      <x:c r="B798" s="12" t="str">
        <x:v>HYG</x:v>
      </x:c>
      <x:c r="C798" s="12" t="str">
        <x:v>WP23</x:v>
      </x:c>
      <x:c r="D798" s="12" t="str">
        <x:v>재확인 필요</x:v>
      </x:c>
      <x:c r="E798" s="12" t="str">
        <x:v>P0</x:v>
      </x:c>
      <x:c r="F798" s="12" t="str">
        <x:v>문서·Evidence 정본화</x:v>
      </x:c>
      <x:c r="G798" s="12" t="str">
        <x:v>과거 Current/Restart Prompt/Overlay/중복 Handover/stale PASS를 제거하거나 archive policy에 따라 분리한다.</x:v>
      </x:c>
      <x:c r="H798" s="12" t="str">
        <x:v>정본 role 중복과 stale SHA를 Gate로 검증한다.</x:v>
      </x:c>
      <x:c r="I798" s="12" t="str">
        <x:v>Repository 전체</x:v>
      </x:c>
      <x:c r="J798" s="12" t="str"/>
      <x:c r="K798" s="12" t="str">
        <x:v>Reflection/AutoConfiguration/Generator/Public API</x:v>
      </x:c>
      <x:c r="L798" s="12" t="str">
        <x:v>Static/Build/Runtime</x:v>
      </x:c>
    </x:row>
    <x:row r="799">
      <x:c r="A799" s="12" t="str">
        <x:v>CPF-QA-D04-HYG-008</x:v>
      </x:c>
      <x:c r="B799" s="12" t="str">
        <x:v>HYG</x:v>
      </x:c>
      <x:c r="C799" s="12" t="str">
        <x:v>WP23</x:v>
      </x:c>
      <x:c r="D799" s="12" t="str">
        <x:v>재확인 필요</x:v>
      </x:c>
      <x:c r="E799" s="12" t="str">
        <x:v>P1</x:v>
      </x:c>
      <x:c r="F799" s="12" t="str">
        <x:v>Repository Root Allowlist</x:v>
      </x:c>
      <x:c r="G799" s="12" t="str">
        <x:v>Root에는 제품 식별·build·실행에 필요한 파일과 공식 module만 허용한다.</x:v>
      </x:c>
      <x:c r="H799" s="12" t="str">
        <x:v>zip/bak/log/tmp/build residue와 빈 directory를 검증한다.</x:v>
      </x:c>
      <x:c r="I799" s="12" t="str">
        <x:v>Repository 전체</x:v>
      </x:c>
      <x:c r="J799" s="12" t="str"/>
      <x:c r="K799" s="12" t="str">
        <x:v>Reflection/AutoConfiguration/Generator/Public API</x:v>
      </x:c>
      <x:c r="L799" s="12" t="str">
        <x:v>Static/Build/Runtime</x:v>
      </x:c>
    </x:row>
    <x:row r="800">
      <x:c r="A800" s="12" t="str">
        <x:v>CPF-QA-D04-HYG-009</x:v>
      </x:c>
      <x:c r="B800" s="12" t="str">
        <x:v>HYG</x:v>
      </x:c>
      <x:c r="C800" s="12" t="str">
        <x:v>WP23</x:v>
      </x:c>
      <x:c r="D800" s="12" t="str">
        <x:v>재확인 필요</x:v>
      </x:c>
      <x:c r="E800" s="12" t="str">
        <x:v>P0</x:v>
      </x:c>
      <x:c r="F800" s="12" t="str">
        <x:v>Cleanup Script</x:v>
      </x:c>
      <x:c r="G800" s="12" t="str">
        <x:v>allowlist, dry-run, candidate report, apply, deletion manifest, rollback 안내와 evidence를 제공한다.</x:v>
      </x:c>
      <x:c r="H800" s="12" t="str">
        <x:v>실행 전후 git diff와 재실행 idempotency를 검증한다.</x:v>
      </x:c>
      <x:c r="I800" s="12" t="str">
        <x:v>Repository 전체</x:v>
      </x:c>
      <x:c r="J800" s="12" t="str"/>
      <x:c r="K800" s="12" t="str">
        <x:v>Reflection/AutoConfiguration/Generator/Public API</x:v>
      </x:c>
      <x:c r="L800" s="12" t="str">
        <x:v>Static/Build/Runtime</x:v>
      </x:c>
    </x:row>
    <x:row r="801">
      <x:c r="A801" s="12" t="str">
        <x:v>CPF-QA-D04-HYG-010</x:v>
      </x:c>
      <x:c r="B801" s="12" t="str">
        <x:v>HYG</x:v>
      </x:c>
      <x:c r="C801" s="12" t="str">
        <x:v>WP23</x:v>
      </x:c>
      <x:c r="D801" s="12" t="str">
        <x:v>재확인 필요</x:v>
      </x:c>
      <x:c r="E801" s="12" t="str">
        <x:v>P1</x:v>
      </x:c>
      <x:c r="F801" s="12" t="str">
        <x:v>민감정보 Cleanup</x:v>
      </x:c>
      <x:c r="G801" s="12" t="str">
        <x:v>Source, SQL, log, evidence, sample에 password/token/key/PII 원문이 없도록 정리한다.</x:v>
      </x:c>
      <x:c r="H801" s="12" t="str">
        <x:v>secret/PII scan과 false positive review를 수행한다.</x:v>
      </x:c>
      <x:c r="I801" s="12" t="str">
        <x:v>Repository 전체</x:v>
      </x:c>
      <x:c r="J801" s="12" t="str"/>
      <x:c r="K801" s="12" t="str">
        <x:v>Reflection/AutoConfiguration/Generator/Public API</x:v>
      </x:c>
      <x:c r="L801" s="12" t="str">
        <x:v>Static/Build/Runtime</x:v>
      </x:c>
    </x:row>
    <x:row r="802">
      <x:c r="A802" s="12" t="str">
        <x:v>CPF-QA-D04-HYG-011</x:v>
      </x:c>
      <x:c r="B802" s="12" t="str">
        <x:v>HYG</x:v>
      </x:c>
      <x:c r="C802" s="12" t="str">
        <x:v>WP23</x:v>
      </x:c>
      <x:c r="D802" s="12" t="str">
        <x:v>재확인 필요</x:v>
      </x:c>
      <x:c r="E802" s="12" t="str">
        <x:v>P1</x:v>
      </x:c>
      <x:c r="F802" s="12" t="str">
        <x:v>Generated Artifact Drift</x:v>
      </x:c>
      <x:c r="G802" s="12" t="str">
        <x:v>Generator output, vendor SQL, OpenAPI, permission manifest, frontend route의 수동 복사 drift를 탐지한다.</x:v>
      </x:c>
      <x:c r="H802" s="12" t="str">
        <x:v>canonical hash와 재생성을 검증한다.</x:v>
      </x:c>
      <x:c r="I802" s="12" t="str">
        <x:v>Repository 전체</x:v>
      </x:c>
      <x:c r="J802" s="12" t="str"/>
      <x:c r="K802" s="12" t="str">
        <x:v>Reflection/AutoConfiguration/Generator/Public API</x:v>
      </x:c>
      <x:c r="L802" s="12" t="str">
        <x:v>Static/Build/Runtime</x:v>
      </x:c>
    </x:row>
    <x:row r="803">
      <x:c r="A803" s="12" t="str">
        <x:v>CPF-QA-D04-HYG-012</x:v>
      </x:c>
      <x:c r="B803" s="12" t="str">
        <x:v>HYG</x:v>
      </x:c>
      <x:c r="C803" s="12" t="str">
        <x:v>WP23</x:v>
      </x:c>
      <x:c r="D803" s="12" t="str">
        <x:v>재확인 필요</x:v>
      </x:c>
      <x:c r="E803" s="12" t="str">
        <x:v>P1</x:v>
      </x:c>
      <x:c r="F803" s="12" t="str">
        <x:v>대형 File·God Class</x:v>
      </x:c>
      <x:c r="G803" s="12" t="str">
        <x:v>대형 Java/Vue/TS, 과대 controller/service/mixin을 feature 책임으로 분리한다.</x:v>
      </x:c>
      <x:c r="H803" s="12" t="str">
        <x:v>complexity, dependency, test coverage와 consumer 이관을 검증한다.</x:v>
      </x:c>
      <x:c r="I803" s="12" t="str">
        <x:v>Repository 전체</x:v>
      </x:c>
      <x:c r="J803" s="12" t="str"/>
      <x:c r="K803" s="12" t="str">
        <x:v>Reflection/AutoConfiguration/Generator/Public API</x:v>
      </x:c>
      <x:c r="L803" s="12" t="str">
        <x:v>Static/Build/Runtime</x:v>
      </x:c>
    </x:row>
    <x:row r="804">
      <x:c r="A804" s="12" t="str">
        <x:v>CPF-QA-D04-HYG-013</x:v>
      </x:c>
      <x:c r="B804" s="12" t="str">
        <x:v>HYG</x:v>
      </x:c>
      <x:c r="C804" s="12" t="str">
        <x:v>WP23</x:v>
      </x:c>
      <x:c r="D804" s="12" t="str">
        <x:v>재확인 필요</x:v>
      </x:c>
      <x:c r="E804" s="12" t="str">
        <x:v>P0</x:v>
      </x:c>
      <x:c r="F804" s="12" t="str">
        <x:v>삭제 안전 절차</x:v>
      </x:c>
      <x:c r="G804" s="12" t="str">
        <x:v>후보→consumer→replacement→test 이관→삭제→build/runtime 순서를 강제한다.</x:v>
      </x:c>
      <x:c r="H804" s="12" t="str">
        <x:v>이름 pattern 재귀 삭제를 금지하고 deletion evidence를 남긴다.</x:v>
      </x:c>
      <x:c r="I804" s="12" t="str">
        <x:v>Repository 전체</x:v>
      </x:c>
      <x:c r="J804" s="12" t="str"/>
      <x:c r="K804" s="12" t="str">
        <x:v>Reflection/AutoConfiguration/Generator/Public API</x:v>
      </x:c>
      <x:c r="L804" s="12" t="str">
        <x:v>Static/Build/Runtime</x:v>
      </x:c>
    </x:row>
    <x:row r="805">
      <x:c r="A805" s="12" t="str">
        <x:v>CPF-QA-D04-HYG-014</x:v>
      </x:c>
      <x:c r="B805" s="12" t="str">
        <x:v>HYG</x:v>
      </x:c>
      <x:c r="C805" s="12" t="str">
        <x:v>WP23</x:v>
      </x:c>
      <x:c r="D805" s="12" t="str">
        <x:v>재확인 필요</x:v>
      </x:c>
      <x:c r="E805" s="12" t="str">
        <x:v>P0</x:v>
      </x:c>
      <x:c r="F805" s="12" t="str">
        <x:v>Hygiene CI Gate</x:v>
      </x:c>
      <x:c r="G805" s="12" t="str">
        <x:v>새 garbage, dead public contract, stale evidence, root residue, orphan route가 재유입되면 CI를 실패시킨다.</x:v>
      </x:c>
      <x:c r="H805" s="12" t="str">
        <x:v>negative fixture로 Gate 실효성을 검증한다.</x:v>
      </x:c>
      <x:c r="I805" s="12" t="str">
        <x:v>Repository 전체</x:v>
      </x:c>
      <x:c r="J805" s="12" t="str"/>
      <x:c r="K805" s="12" t="str">
        <x:v>Reflection/AutoConfiguration/Generator/Public API</x:v>
      </x:c>
      <x:c r="L805" s="12" t="str">
        <x:v>Static/Build/Runtime</x:v>
      </x:c>
    </x:row>
    <x:row r="806">
      <x:c r="A806" s="12" t="str">
        <x:v>CPF-QA-D04-QAE-001</x:v>
      </x:c>
      <x:c r="B806" s="12" t="str">
        <x:v>QAE</x:v>
      </x:c>
      <x:c r="C806" s="12" t="str">
        <x:v>WP24</x:v>
      </x:c>
      <x:c r="D806" s="12" t="str">
        <x:v>재확인 필요</x:v>
      </x:c>
      <x:c r="E806" s="12" t="str">
        <x:v>P0</x:v>
      </x:c>
      <x:c r="F806" s="12" t="str">
        <x:v>Source 확인과 요구사항 분리</x:v>
      </x:c>
      <x:c r="G806" s="12" t="str">
        <x:v>Source에서 확인한 결함, 문서가 미검증이라 선언한 항목, 새 목표 요구를 별도 필드로 분리한다.</x:v>
      </x:c>
      <x:c r="H806" s="12" t="str">
        <x:v>각 defect에 evidence type과 exact path/line/command를 기록한다.</x:v>
      </x:c>
      <x:c r="I806" s="12" t="str">
        <x:v>QA governance</x:v>
      </x:c>
      <x:c r="J806" s="12" t="str"/>
      <x:c r="K806" s="12" t="str">
        <x:v>기존 ID·Evidence 추적</x:v>
      </x:c>
      <x:c r="L806" s="12" t="str">
        <x:v>CI/Static/All</x:v>
      </x:c>
    </x:row>
    <x:row r="807">
      <x:c r="A807" s="12" t="str">
        <x:v>CPF-QA-D04-QAE-002</x:v>
      </x:c>
      <x:c r="B807" s="12" t="str">
        <x:v>QAE</x:v>
      </x:c>
      <x:c r="C807" s="12" t="str">
        <x:v>WP24</x:v>
      </x:c>
      <x:c r="D807" s="12" t="str">
        <x:v>재확인 필요</x:v>
      </x:c>
      <x:c r="E807" s="12" t="str">
        <x:v>P0</x:v>
      </x:c>
      <x:c r="F807" s="12" t="str">
        <x:v>최신 master exact SHA</x:v>
      </x:c>
      <x:c r="G807" s="12" t="str">
        <x:v>작업 시작/종료 시 master SHA를 확인하고 중간 push가 있으면 재base가 아니라 재검수 기준을 갱신한다.</x:v>
      </x:c>
      <x:c r="H807" s="12" t="str">
        <x:v>모든 artifact manifest의 exact SHA 일치를 검증한다.</x:v>
      </x:c>
      <x:c r="I807" s="12" t="str">
        <x:v>QA governance</x:v>
      </x:c>
      <x:c r="J807" s="12" t="str"/>
      <x:c r="K807" s="12" t="str">
        <x:v>기존 ID·Evidence 추적</x:v>
      </x:c>
      <x:c r="L807" s="12" t="str">
        <x:v>CI/Static/All</x:v>
      </x:c>
    </x:row>
    <x:row r="808">
      <x:c r="A808" s="12" t="str">
        <x:v>CPF-QA-D04-QAE-003</x:v>
      </x:c>
      <x:c r="B808" s="12" t="str">
        <x:v>QAE</x:v>
      </x:c>
      <x:c r="C808" s="12" t="str">
        <x:v>WP24</x:v>
      </x:c>
      <x:c r="D808" s="12" t="str">
        <x:v>재확인 필요</x:v>
      </x:c>
      <x:c r="E808" s="12" t="str">
        <x:v>P0</x:v>
      </x:c>
      <x:c r="F808" s="12" t="str">
        <x:v>Requirement 전수 재판정</x:v>
      </x:c>
      <x:c r="G808" s="12" t="str">
        <x:v>기존 1,873 요구사항과 신규 요구를 삭제하지 않고 root cause 기준 dedup 후 개별 재판정한다.</x:v>
      </x:c>
      <x:c r="H808" s="12" t="str">
        <x:v>상태 일괄 치환과 공통 PASS evidence 재사용을 금지한다.</x:v>
      </x:c>
      <x:c r="I808" s="12" t="str">
        <x:v>QA governance</x:v>
      </x:c>
      <x:c r="J808" s="12" t="str"/>
      <x:c r="K808" s="12" t="str">
        <x:v>기존 ID·Evidence 추적</x:v>
      </x:c>
      <x:c r="L808" s="12" t="str">
        <x:v>CI/Static/All</x:v>
      </x:c>
    </x:row>
    <x:row r="809">
      <x:c r="A809" s="12" t="str">
        <x:v>CPF-QA-D04-QAE-004</x:v>
      </x:c>
      <x:c r="B809" s="12" t="str">
        <x:v>QAE</x:v>
      </x:c>
      <x:c r="C809" s="12" t="str">
        <x:v>WP24</x:v>
      </x:c>
      <x:c r="D809" s="12" t="str">
        <x:v>재확인 필요</x:v>
      </x:c>
      <x:c r="E809" s="12" t="str">
        <x:v>P0</x:v>
      </x:c>
      <x:c r="F809" s="12" t="str">
        <x:v>Scenario 전수 실행</x:v>
      </x:c>
      <x:c r="G809" s="12" t="str">
        <x:v>기존 441 시나리오와 신규 시나리오를 환경별 실행/미실행으로 분리한다.</x:v>
      </x:c>
      <x:c r="H809" s="12" t="str">
        <x:v>미설치 외부 제품은 simulator와 real runtime 결과를 구분한다.</x:v>
      </x:c>
      <x:c r="I809" s="12" t="str">
        <x:v>QA governance</x:v>
      </x:c>
      <x:c r="J809" s="12" t="str"/>
      <x:c r="K809" s="12" t="str">
        <x:v>기존 ID·Evidence 추적</x:v>
      </x:c>
      <x:c r="L809" s="12" t="str">
        <x:v>CI/Static/All</x:v>
      </x:c>
    </x:row>
    <x:row r="810">
      <x:c r="A810" s="12" t="str">
        <x:v>CPF-QA-D04-QAE-005</x:v>
      </x:c>
      <x:c r="B810" s="12" t="str">
        <x:v>QAE</x:v>
      </x:c>
      <x:c r="C810" s="12" t="str">
        <x:v>WP24</x:v>
      </x:c>
      <x:c r="D810" s="12" t="str">
        <x:v>재확인 필요</x:v>
      </x:c>
      <x:c r="E810" s="12" t="str">
        <x:v>P0</x:v>
      </x:c>
      <x:c r="F810" s="12" t="str">
        <x:v>Evidence 강제 Gate</x:v>
      </x:c>
      <x:c r="G810" s="12" t="str">
        <x:v>Evidence directory 누락, output file/hash 누락, exact SHA 불일치는 기본 Release 경로에서 실패해야 한다.</x:v>
      </x:c>
      <x:c r="H810" s="12" t="str">
        <x:v>옵션 없이도 release gate가 fail-closed인지 검증한다.</x:v>
      </x:c>
      <x:c r="I810" s="12" t="str">
        <x:v>QA governance</x:v>
      </x:c>
      <x:c r="J810" s="12" t="str"/>
      <x:c r="K810" s="12" t="str">
        <x:v>기존 ID·Evidence 추적</x:v>
      </x:c>
      <x:c r="L810" s="12" t="str">
        <x:v>CI/Static/All</x:v>
      </x:c>
    </x:row>
    <x:row r="811">
      <x:c r="A811" s="12" t="str">
        <x:v>CPF-QA-D04-QAE-006</x:v>
      </x:c>
      <x:c r="B811" s="12" t="str">
        <x:v>QAE</x:v>
      </x:c>
      <x:c r="C811" s="12" t="str">
        <x:v>WP24</x:v>
      </x:c>
      <x:c r="D811" s="12" t="str">
        <x:v>재확인 필요</x:v>
      </x:c>
      <x:c r="E811" s="12" t="str">
        <x:v>P0</x:v>
      </x:c>
      <x:c r="F811" s="12" t="str">
        <x:v>실행 명령·환경</x:v>
      </x:c>
      <x:c r="G811" s="12" t="str">
        <x:v>Java/Gradle/Node/DB/WAS/Profile/OS/instance/port와 시작·종료·exit code를 기록한다.</x:v>
      </x:c>
      <x:c r="H811" s="12" t="str">
        <x:v>재현 가능한 clean checkout에서 동일 명령을 실행한다.</x:v>
      </x:c>
      <x:c r="I811" s="12" t="str">
        <x:v>QA governance</x:v>
      </x:c>
      <x:c r="J811" s="12" t="str"/>
      <x:c r="K811" s="12" t="str">
        <x:v>기존 ID·Evidence 추적</x:v>
      </x:c>
      <x:c r="L811" s="12" t="str">
        <x:v>CI/Static/All</x:v>
      </x:c>
    </x:row>
    <x:row r="812">
      <x:c r="A812" s="12" t="str">
        <x:v>CPF-QA-D04-QAE-007</x:v>
      </x:c>
      <x:c r="B812" s="12" t="str">
        <x:v>QAE</x:v>
      </x:c>
      <x:c r="C812" s="12" t="str">
        <x:v>WP24</x:v>
      </x:c>
      <x:c r="D812" s="12" t="str">
        <x:v>재확인 필요</x:v>
      </x:c>
      <x:c r="E812" s="12" t="str">
        <x:v>P0</x:v>
      </x:c>
      <x:c r="F812" s="12" t="str">
        <x:v>원본 Output·Hash</x:v>
      </x:c>
      <x:c r="G812" s="12" t="str">
        <x:v>stdout/stderr, test report, HTTP, SQL, browser trace, screenshot, file output를 hash와 함께 보존한다.</x:v>
      </x:c>
      <x:c r="H812" s="12" t="str">
        <x:v>metadata만 있고 원본 없는 evidence를 실패 처리한다.</x:v>
      </x:c>
      <x:c r="I812" s="12" t="str">
        <x:v>QA governance</x:v>
      </x:c>
      <x:c r="J812" s="12" t="str"/>
      <x:c r="K812" s="12" t="str">
        <x:v>기존 ID·Evidence 추적</x:v>
      </x:c>
      <x:c r="L812" s="12" t="str">
        <x:v>CI/Static/All</x:v>
      </x:c>
    </x:row>
    <x:row r="813">
      <x:c r="A813" s="12" t="str">
        <x:v>CPF-QA-D04-QAE-008</x:v>
      </x:c>
      <x:c r="B813" s="12" t="str">
        <x:v>QAE</x:v>
      </x:c>
      <x:c r="C813" s="12" t="str">
        <x:v>WP24</x:v>
      </x:c>
      <x:c r="D813" s="12" t="str">
        <x:v>재확인 필요</x:v>
      </x:c>
      <x:c r="E813" s="12" t="str">
        <x:v>P0</x:v>
      </x:c>
      <x:c r="F813" s="12" t="str">
        <x:v>미실행 성공 금지</x:v>
      </x:c>
      <x:c r="G813" s="12" t="str">
        <x:v>파일·문자열·route/table/interface 존재, mock 성공을 runtime 완료로 기록하지 않는다.</x:v>
      </x:c>
      <x:c r="H813" s="12" t="str">
        <x:v>status rule 자동 검사와 표본 감사로 검증한다.</x:v>
      </x:c>
      <x:c r="I813" s="12" t="str">
        <x:v>QA governance</x:v>
      </x:c>
      <x:c r="J813" s="12" t="str"/>
      <x:c r="K813" s="12" t="str">
        <x:v>기존 ID·Evidence 추적</x:v>
      </x:c>
      <x:c r="L813" s="12" t="str">
        <x:v>CI/Static/All</x:v>
      </x:c>
    </x:row>
    <x:row r="814">
      <x:c r="A814" s="12" t="str">
        <x:v>CPF-QA-D04-QAE-009</x:v>
      </x:c>
      <x:c r="B814" s="12" t="str">
        <x:v>QAE</x:v>
      </x:c>
      <x:c r="C814" s="12" t="str">
        <x:v>WP24</x:v>
      </x:c>
      <x:c r="D814" s="12" t="str">
        <x:v>재확인 필요</x:v>
      </x:c>
      <x:c r="E814" s="12" t="str">
        <x:v>P0</x:v>
      </x:c>
      <x:c r="F814" s="12" t="str">
        <x:v>CI Required Check</x:v>
      </x:c>
      <x:c r="G814" s="12" t="str">
        <x:v>Build/Test/Frontend/Security/DB/Browser/Multi-instance/Generator/Evidence를 최신 SHA Required Check로 연결한다.</x:v>
      </x:c>
      <x:c r="H814" s="12" t="str">
        <x:v>workflow 존재가 아니라 실제 run/status/artifact를 검증한다.</x:v>
      </x:c>
      <x:c r="I814" s="12" t="str">
        <x:v>QA governance</x:v>
      </x:c>
      <x:c r="J814" s="12" t="str"/>
      <x:c r="K814" s="12" t="str">
        <x:v>기존 ID·Evidence 추적</x:v>
      </x:c>
      <x:c r="L814" s="12" t="str">
        <x:v>CI/Static/All</x:v>
      </x:c>
    </x:row>
    <x:row r="815">
      <x:c r="A815" s="12" t="str">
        <x:v>CPF-QA-D04-QAE-010</x:v>
      </x:c>
      <x:c r="B815" s="12" t="str">
        <x:v>QAE</x:v>
      </x:c>
      <x:c r="C815" s="12" t="str">
        <x:v>WP24</x:v>
      </x:c>
      <x:c r="D815" s="12" t="str">
        <x:v>재확인 필요</x:v>
      </x:c>
      <x:c r="E815" s="12" t="str">
        <x:v>P0</x:v>
      </x:c>
      <x:c r="F815" s="12" t="str">
        <x:v>Known Gaps 원장</x:v>
      </x:c>
      <x:c r="G815" s="12" t="str">
        <x:v>직접 확인된 source gap은 별도 Known Gaps에 path, current behavior, target, severity, recheck command를 기록한다.</x:v>
      </x:c>
      <x:c r="H815" s="12" t="str">
        <x:v>수정 후 Source와 runtime evidence로 닫는다.</x:v>
      </x:c>
      <x:c r="I815" s="12" t="str">
        <x:v>QA governance</x:v>
      </x:c>
      <x:c r="J815" s="12" t="str"/>
      <x:c r="K815" s="12" t="str">
        <x:v>기존 ID·Evidence 추적</x:v>
      </x:c>
      <x:c r="L815" s="12" t="str">
        <x:v>CI/Static/All</x:v>
      </x:c>
    </x:row>
    <x:row r="816">
      <x:c r="A816" s="12" t="str">
        <x:v>CPF-QA-D04-QAE-011</x:v>
      </x:c>
      <x:c r="B816" s="12" t="str">
        <x:v>QAE</x:v>
      </x:c>
      <x:c r="C816" s="12" t="str">
        <x:v>WP24</x:v>
      </x:c>
      <x:c r="D816" s="12" t="str">
        <x:v>재확인 필요</x:v>
      </x:c>
      <x:c r="E816" s="12" t="str">
        <x:v>P0</x:v>
      </x:c>
      <x:c r="F816" s="12" t="str">
        <x:v>완료 보고 진실성</x:v>
      </x:c>
      <x:c r="G816" s="12" t="str">
        <x:v>완료 외 상태가 있으면 전체 완료/GA 표현을 금지하고 남은 blocker를 제목과 결론에 표시한다.</x:v>
      </x:c>
      <x:c r="H816" s="12" t="str">
        <x:v>report와 ledger status consistency를 Gate로 검증한다.</x:v>
      </x:c>
      <x:c r="I816" s="12" t="str">
        <x:v>QA governance</x:v>
      </x:c>
      <x:c r="J816" s="12" t="str"/>
      <x:c r="K816" s="12" t="str">
        <x:v>기존 ID·Evidence 추적</x:v>
      </x:c>
      <x:c r="L816" s="12" t="str">
        <x:v>CI/Static/All</x:v>
      </x:c>
    </x:row>
    <x:row r="817">
      <x:c r="A817" s="12" t="str">
        <x:v>CPF-QA-D04-QAE-012</x:v>
      </x:c>
      <x:c r="B817" s="12" t="str">
        <x:v>QAE</x:v>
      </x:c>
      <x:c r="C817" s="12" t="str">
        <x:v>WP24</x:v>
      </x:c>
      <x:c r="D817" s="12" t="str">
        <x:v>재확인 필요</x:v>
      </x:c>
      <x:c r="E817" s="12" t="str">
        <x:v>P0</x:v>
      </x:c>
      <x:c r="F817" s="12" t="str">
        <x:v>사용자 승인 없는 Git 변경 금지</x:v>
      </x:c>
      <x:c r="G817" s="12" t="str">
        <x:v>Commit, Push, Branch, Tag, Release는 사용자 명시 승인 전 수행하지 않는다.</x:v>
      </x:c>
      <x:c r="H817" s="12" t="str">
        <x:v>git log/ref 변경 여부를 종료 보고에 포함한다.</x:v>
      </x:c>
      <x:c r="I817" s="12" t="str">
        <x:v>QA governance</x:v>
      </x:c>
      <x:c r="J817" s="12" t="str"/>
      <x:c r="K817" s="12" t="str">
        <x:v>기존 ID·Evidence 추적</x:v>
      </x:c>
      <x:c r="L817" s="12" t="str">
        <x:v>CI/Static/All</x:v>
      </x:c>
    </x:row>
  </x:sheetData>
  <x:pageMargins left="0.7" right="0.7" top="0.75" bottom="0.75" header="0.3" footer="0.3"/>
  <x:tableParts count="1">
    <x:tablePart xmlns:r="http://schemas.openxmlformats.org/officeDocument/2006/relationships" r:id="R9eebfedeec234de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0" hidden="0" customWidth="1"/>
    <x:col min="4" max="4" width="32" hidden="0" customWidth="1"/>
    <x:col min="5" max="5" width="36" hidden="0" customWidth="1"/>
    <x:col min="6" max="6" width="52" hidden="0" customWidth="1"/>
    <x:col min="7" max="7" width="52" hidden="0" customWidth="1"/>
    <x:col min="8" max="8" width="32" hidden="0" customWidth="1"/>
    <x:col min="9" max="9" width="18" hidden="0" customWidth="1"/>
  </x:cols>
  <x:sheetData>
    <x:row r="1">
      <x:c r="A1" s="6" t="str">
        <x:v>id</x:v>
      </x:c>
      <x:c r="B1" s="6" t="str">
        <x:v>area</x:v>
      </x:c>
      <x:c r="C1" s="6" t="str">
        <x:v>work_package</x:v>
      </x:c>
      <x:c r="D1" s="6" t="str">
        <x:v>title</x:v>
      </x:c>
      <x:c r="E1" s="6" t="str">
        <x:v>setup</x:v>
      </x:c>
      <x:c r="F1" s="6" t="str">
        <x:v>steps</x:v>
      </x:c>
      <x:c r="G1" s="6" t="str">
        <x:v>expected</x:v>
      </x:c>
      <x:c r="H1" s="6" t="str">
        <x:v>evidence</x:v>
      </x:c>
      <x:c r="I1" s="6" t="str">
        <x:v>environment</x:v>
      </x:c>
    </x:row>
    <x:row r="2">
      <x:c r="A2" s="12" t="str">
        <x:v>CPF-QA-EXEC-202</x:v>
      </x:c>
      <x:c r="B2" s="12" t="str">
        <x:v>FND</x:v>
      </x:c>
      <x:c r="C2" s="12" t="str">
        <x:v>WP00</x:v>
      </x:c>
      <x:c r="D2" s="12" t="str">
        <x:v>최신 SHA CI Required Check</x:v>
      </x:c>
      <x:c r="E2" s="12" t="str">
        <x:v>clean checkout of 9fa4bb0, Java25, Gradle9.1, Node/pwsh</x:v>
      </x:c>
      <x:c r="F2" s="12" t="str">
        <x:v>Source/Build/Test/Frontend/Security/DB/Artifact/Evidence workflow를 실행한다.</x:v>
      </x:c>
      <x:c r="G2" s="12" t="str">
        <x:v>정확한 SHA에 모든 Required Check가 생성·성공하고 미실행 Check가 없다.</x:v>
      </x:c>
      <x:c r="H2" s="12" t="str">
        <x:v>workflow URL, job logs, SHA</x:v>
      </x:c>
      <x:c r="I2" s="12" t="str">
        <x:v>CI</x:v>
      </x:c>
    </x:row>
    <x:row r="3">
      <x:c r="A3" s="12" t="str">
        <x:v>CPF-QA-EXEC-203</x:v>
      </x:c>
      <x:c r="B3" s="12" t="str">
        <x:v>FND</x:v>
      </x:c>
      <x:c r="C3" s="12" t="str">
        <x:v>WP00</x:v>
      </x:c>
      <x:c r="D3" s="12" t="str">
        <x:v>문서 기준 SHA 일치</x:v>
      </x:c>
      <x:c r="E3" s="12" t="str">
        <x:v>Current/Next/Matrix/Handover/Ledger/Evidence index</x:v>
      </x:c>
      <x:c r="F3" s="12" t="str">
        <x:v>모든 기준 SHA와 Artifact hash를 수집·비교한다.</x:v>
      </x:c>
      <x:c r="G3" s="12" t="str">
        <x:v>최신 SHA 9fa4bb0으로 일치하고 과거 Overlay를 현재 PASS로 참조하지 않는다.</x:v>
      </x:c>
      <x:c r="H3" s="12" t="str">
        <x:v>document consistency report</x:v>
      </x:c>
      <x:c r="I3" s="12" t="str">
        <x:v>Static</x:v>
      </x:c>
    </x:row>
    <x:row r="4">
      <x:c r="A4" s="12" t="str">
        <x:v>CPF-QA-EXEC-204</x:v>
      </x:c>
      <x:c r="B4" s="12" t="str">
        <x:v>FND</x:v>
      </x:c>
      <x:c r="C4" s="12" t="str">
        <x:v>WP00</x:v>
      </x:c>
      <x:c r="D4" s="12" t="str">
        <x:v>한 줄 Evidence 거부 Gate</x:v>
      </x:c>
      <x:c r="E4" s="12" t="str">
        <x:v>의도적으로 content=PASS만 있는 evidence fixture</x:v>
      </x:c>
      <x:c r="F4" s="12" t="str">
        <x:v>Evidence validator를 실행한다.</x:v>
      </x:c>
      <x:c r="G4" s="12" t="str">
        <x:v>명령·환경·시간·출력·redaction 없는 Evidence는 FAIL 처리된다.</x:v>
      </x:c>
      <x:c r="H4" s="12" t="str">
        <x:v>negative gate output</x:v>
      </x:c>
      <x:c r="I4" s="12" t="str">
        <x:v>Static</x:v>
      </x:c>
    </x:row>
    <x:row r="5">
      <x:c r="A5" s="12" t="str">
        <x:v>CPF-QA-EXEC-205</x:v>
      </x:c>
      <x:c r="B5" s="12" t="str">
        <x:v>FND</x:v>
      </x:c>
      <x:c r="C5" s="12" t="str">
        <x:v>WP00</x:v>
      </x:c>
      <x:c r="D5" s="12" t="str">
        <x:v>기존 1,214 Inventory 재판정</x:v>
      </x:c>
      <x:c r="E5" s="12" t="str">
        <x:v>기존 CSV + 최신 repo</x:v>
      </x:c>
      <x:c r="F5" s="12" t="str">
        <x:v>각 ID의 Source/API/SQL/Test/Runtime/Evidence를 재매핑한다.</x:v>
      </x:c>
      <x:c r="G5" s="12" t="str">
        <x:v>누락 0, 중복 root cause 식별, 허용 상태만 사용한다.</x:v>
      </x:c>
      <x:c r="H5" s="12" t="str">
        <x:v>updated inventory</x:v>
      </x:c>
      <x:c r="I5" s="12" t="str">
        <x:v>Static+Runtime</x:v>
      </x:c>
    </x:row>
    <x:row r="6">
      <x:c r="A6" s="12" t="str">
        <x:v>CPF-QA-EXEC-206</x:v>
      </x:c>
      <x:c r="B6" s="12" t="str">
        <x:v>FND</x:v>
      </x:c>
      <x:c r="C6" s="12" t="str">
        <x:v>WP00</x:v>
      </x:c>
      <x:c r="D6" s="12" t="str">
        <x:v>기존 201 Scenario 연속 실행</x:v>
      </x:c>
      <x:c r="E6" s="12" t="str">
        <x:v>기존 scenario CSV + delta scenario CSV</x:v>
      </x:c>
      <x:c r="F6" s="12" t="str">
        <x:v>의존순서로 실행하고 각 결과를 저장한다.</x:v>
      </x:c>
      <x:c r="G6" s="12" t="str">
        <x:v>미실행은 미검증이며 PASS 위장 0.</x:v>
      </x:c>
      <x:c r="H6" s="12" t="str">
        <x:v>scenario ledger</x:v>
      </x:c>
      <x:c r="I6" s="12" t="str">
        <x:v>Mixed</x:v>
      </x:c>
    </x:row>
    <x:row r="7">
      <x:c r="A7" s="12" t="str">
        <x:v>CPF-QA-EXEC-207</x:v>
      </x:c>
      <x:c r="B7" s="12" t="str">
        <x:v>HYG</x:v>
      </x:c>
      <x:c r="C7" s="12" t="str">
        <x:v>WP15</x:v>
      </x:c>
      <x:c r="D7" s="12" t="str">
        <x:v>중간 Overlay 산출물 정리</x:v>
      </x:c>
      <x:c r="E7" s="12" t="str">
        <x:v>clean clone + current docs</x:v>
      </x:c>
      <x:c r="F7" s="12" t="str">
        <x:v>CPF_INTERMEDIATE, overlay manifest, tmp/bak/log를 owner/requirement와 대조한다.</x:v>
      </x:c>
      <x:c r="G7" s="12" t="str">
        <x:v>Current 정본 최소화, 필요한 archive만 보존, 제품 파일 오삭제 0.</x:v>
      </x:c>
      <x:c r="H7" s="12" t="str">
        <x:v>cleanup manifest</x:v>
      </x:c>
      <x:c r="I7" s="12" t="str">
        <x:v>Static</x:v>
      </x:c>
    </x:row>
    <x:row r="8">
      <x:c r="A8" s="12" t="str">
        <x:v>CPF-QA-EXEC-208</x:v>
      </x:c>
      <x:c r="B8" s="12" t="str">
        <x:v>LOCAL</x:v>
      </x:c>
      <x:c r="C8" s="12" t="str">
        <x:v>WP02</x:v>
      </x:c>
      <x:c r="D8" s="12" t="str">
        <x:v>Local Web minimal 기동</x:v>
      </x:c>
      <x:c r="E8" s="12" t="str">
        <x:v>ADM 인증·기본 운영 API만 활성</x:v>
      </x:c>
      <x:c r="F8" s="12" t="str">
        <x:v>minimal profile로 1 JVM/1 Port 기동→health→shutdown</x:v>
      </x:c>
      <x:c r="G8" s="12" t="str">
        <x:v>불필요 모듈 미기동, 정상 종료, 포트 충돌 0</x:v>
      </x:c>
      <x:c r="H8" s="12" t="str">
        <x:v>startup logs, process/port/memory snapshot</x:v>
      </x:c>
      <x:c r="I8" s="12" t="str">
        <x:v>WAS+MariaDB/Mock</x:v>
      </x:c>
    </x:row>
    <x:row r="9">
      <x:c r="A9" s="12" t="str">
        <x:v>CPF-QA-EXEC-209</x:v>
      </x:c>
      <x:c r="B9" s="12" t="str">
        <x:v>LOCAL</x:v>
      </x:c>
      <x:c r="C9" s="12" t="str">
        <x:v>WP02</x:v>
      </x:c>
      <x:c r="D9" s="12" t="str">
        <x:v>Local Web standard 기동</x:v>
      </x:c>
      <x:c r="E9" s="12" t="str">
        <x:v>ADM/BZA/Gateway/1 Domain</x:v>
      </x:c>
      <x:c r="F9" s="12" t="str">
        <x:v>standard profile 기동 후 주요 route 호출</x:v>
      </x:c>
      <x:c r="G9" s="12" t="str">
        <x:v>1 JVM/1 HTTP Port에서 route와 보안 계약 정상</x:v>
      </x:c>
      <x:c r="H9" s="12" t="str">
        <x:v>startup logs, process/port/memory snapshot</x:v>
      </x:c>
      <x:c r="I9" s="12" t="str">
        <x:v>WAS+MariaDB/Mock</x:v>
      </x:c>
    </x:row>
    <x:row r="10">
      <x:c r="A10" s="12" t="str">
        <x:v>CPF-QA-EXEC-210</x:v>
      </x:c>
      <x:c r="B10" s="12" t="str">
        <x:v>LOCAL</x:v>
      </x:c>
      <x:c r="C10" s="12" t="str">
        <x:v>WP02</x:v>
      </x:c>
      <x:c r="D10" s="12" t="str">
        <x:v>Local Web full 기동</x:v>
      </x:c>
      <x:c r="E10" s="12" t="str">
        <x:v>모든 선택 Web 모듈</x:v>
      </x:c>
      <x:c r="F10" s="12" t="str">
        <x:v>full profile 기동 후 bean/config 충돌 검사</x:v>
      </x:c>
      <x:c r="G10" s="12" t="str">
        <x:v>중복 Bean·TransactionManager·route 충돌 0</x:v>
      </x:c>
      <x:c r="H10" s="12" t="str">
        <x:v>startup logs, process/port/memory snapshot</x:v>
      </x:c>
      <x:c r="I10" s="12" t="str">
        <x:v>WAS+MariaDB/Mock</x:v>
      </x:c>
    </x:row>
    <x:row r="11">
      <x:c r="A11" s="12" t="str">
        <x:v>CPF-QA-EXEC-211</x:v>
      </x:c>
      <x:c r="B11" s="12" t="str">
        <x:v>LOCAL</x:v>
      </x:c>
      <x:c r="C11" s="12" t="str">
        <x:v>WP02</x:v>
      </x:c>
      <x:c r="D11" s="12" t="str">
        <x:v>Local 내부 호출</x:v>
      </x:c>
      <x:c r="E11" s="12" t="str">
        <x:v>동일 JVM 두 업무 Facade</x:v>
      </x:c>
      <x:c r="F11" s="12" t="str">
        <x:v>업무 A가 B를 호출</x:v>
      </x:c>
      <x:c r="G11" s="12" t="str">
        <x:v>HTTP loopback 없이 Local Facade, 동일 Header/Error/Trace</x:v>
      </x:c>
      <x:c r="H11" s="12" t="str">
        <x:v>startup logs, process/port/memory snapshot</x:v>
      </x:c>
      <x:c r="I11" s="12" t="str">
        <x:v>WAS+MariaDB/Mock</x:v>
      </x:c>
    </x:row>
    <x:row r="12">
      <x:c r="A12" s="12" t="str">
        <x:v>CPF-QA-EXEC-212</x:v>
      </x:c>
      <x:c r="B12" s="12" t="str">
        <x:v>LOCAL</x:v>
      </x:c>
      <x:c r="C12" s="12" t="str">
        <x:v>WP02</x:v>
      </x:c>
      <x:c r="D12" s="12" t="str">
        <x:v>Local Remote parity</x:v>
      </x:c>
      <x:c r="E12" s="12" t="str">
        <x:v>Local mode와 분리 WAS mode</x:v>
      </x:c>
      <x:c r="F12" s="12" t="str">
        <x:v>동일 요청을 양 topology로 호출</x:v>
      </x:c>
      <x:c r="G12" s="12" t="str">
        <x:v>응답 계약·오류·권한·Trace parity</x:v>
      </x:c>
      <x:c r="H12" s="12" t="str">
        <x:v>startup logs, process/port/memory snapshot</x:v>
      </x:c>
      <x:c r="I12" s="12" t="str">
        <x:v>WAS+MariaDB/Mock</x:v>
      </x:c>
    </x:row>
    <x:row r="13">
      <x:c r="A13" s="12" t="str">
        <x:v>CPF-QA-EXEC-213</x:v>
      </x:c>
      <x:c r="B13" s="12" t="str">
        <x:v>LOCAL</x:v>
      </x:c>
      <x:c r="C13" s="12" t="str">
        <x:v>WP02</x:v>
      </x:c>
      <x:c r="D13" s="12" t="str">
        <x:v>Local Batch 별도 JVM</x:v>
      </x:c>
      <x:c r="E13" s="12" t="str">
        <x:v>Local Web + Local Batch process</x:v>
      </x:c>
      <x:c r="F13" s="12" t="str">
        <x:v>각 process 기동·중지·재기동</x:v>
      </x:c>
      <x:c r="G13" s="12" t="str">
        <x:v>Web 장애와 Batch 장애 격리, 공유 DB 정합</x:v>
      </x:c>
      <x:c r="H13" s="12" t="str">
        <x:v>startup logs, process/port/memory snapshot</x:v>
      </x:c>
      <x:c r="I13" s="12" t="str">
        <x:v>WAS+MariaDB/Mock</x:v>
      </x:c>
    </x:row>
    <x:row r="14">
      <x:c r="A14" s="12" t="str">
        <x:v>CPF-QA-EXEC-214</x:v>
      </x:c>
      <x:c r="B14" s="12" t="str">
        <x:v>LOCAL</x:v>
      </x:c>
      <x:c r="C14" s="12" t="str">
        <x:v>WP02</x:v>
      </x:c>
      <x:c r="D14" s="12" t="str">
        <x:v>Embedded Batch debug</x:v>
      </x:c>
      <x:c r="E14" s="12" t="str">
        <x:v>unit/debug profile</x:v>
      </x:c>
      <x:c r="F14" s="12" t="str">
        <x:v>작은 Job을 same JVM에서 실행</x:v>
      </x:c>
      <x:c r="G14" s="12" t="str">
        <x:v>운영 profile에서는 비활성, test에서만 사용</x:v>
      </x:c>
      <x:c r="H14" s="12" t="str">
        <x:v>startup logs, process/port/memory snapshot</x:v>
      </x:c>
      <x:c r="I14" s="12" t="str">
        <x:v>WAS+MariaDB/Mock</x:v>
      </x:c>
    </x:row>
    <x:row r="15">
      <x:c r="A15" s="12" t="str">
        <x:v>CPF-QA-EXEC-215</x:v>
      </x:c>
      <x:c r="B15" s="12" t="str">
        <x:v>LOCAL</x:v>
      </x:c>
      <x:c r="C15" s="12" t="str">
        <x:v>WP02</x:v>
      </x:c>
      <x:c r="D15" s="12" t="str">
        <x:v>TCP/gRPC opt-in</x:v>
      </x:c>
      <x:c r="E15" s="12" t="str">
        <x:v>integration profile extra port</x:v>
      </x:c>
      <x:c r="F15" s="12" t="str">
        <x:v>Listener off/on 전환</x:v>
      </x:c>
      <x:c r="G15" s="12" t="str">
        <x:v>기본 mode 포트 1개, integration에서만 추가 listener</x:v>
      </x:c>
      <x:c r="H15" s="12" t="str">
        <x:v>startup logs, process/port/memory snapshot</x:v>
      </x:c>
      <x:c r="I15" s="12" t="str">
        <x:v>WAS+MariaDB/Mock</x:v>
      </x:c>
    </x:row>
    <x:row r="16">
      <x:c r="A16" s="12" t="str">
        <x:v>CPF-QA-EXEC-216</x:v>
      </x:c>
      <x:c r="B16" s="12" t="str">
        <x:v>LOCAL</x:v>
      </x:c>
      <x:c r="C16" s="12" t="str">
        <x:v>WP02</x:v>
      </x:c>
      <x:c r="D16" s="12" t="str">
        <x:v>미설치 Redis Fake</x:v>
      </x:c>
      <x:c r="E16" s="12" t="str">
        <x:v>Redis 미설치</x:v>
      </x:c>
      <x:c r="F16" s="12" t="str">
        <x:v>Fake provider로 cache/lock scenario 실행</x:v>
      </x:c>
      <x:c r="G16" s="12" t="str">
        <x:v>설치 없이 contract 성공, 실연동 상태 미검증</x:v>
      </x:c>
      <x:c r="H16" s="12" t="str">
        <x:v>startup logs, process/port/memory snapshot</x:v>
      </x:c>
      <x:c r="I16" s="12" t="str">
        <x:v>WAS+MariaDB/Mock</x:v>
      </x:c>
    </x:row>
    <x:row r="17">
      <x:c r="A17" s="12" t="str">
        <x:v>CPF-QA-EXEC-217</x:v>
      </x:c>
      <x:c r="B17" s="12" t="str">
        <x:v>LOCAL</x:v>
      </x:c>
      <x:c r="C17" s="12" t="str">
        <x:v>WP02</x:v>
      </x:c>
      <x:c r="D17" s="12" t="str">
        <x:v>미설치 Kafka Simulator</x:v>
      </x:c>
      <x:c r="E17" s="12" t="str">
        <x:v>Kafka 미설치</x:v>
      </x:c>
      <x:c r="F17" s="12" t="str">
        <x:v>Simulator로 produce/consume/DLQ 실행</x:v>
      </x:c>
      <x:c r="G17" s="12" t="str">
        <x:v>계약·retry·DLQ 검증, 실 broker 미검증</x:v>
      </x:c>
      <x:c r="H17" s="12" t="str">
        <x:v>startup logs, process/port/memory snapshot</x:v>
      </x:c>
      <x:c r="I17" s="12" t="str">
        <x:v>WAS+MariaDB/Mock</x:v>
      </x:c>
    </x:row>
    <x:row r="18">
      <x:c r="A18" s="12" t="str">
        <x:v>CPF-QA-EXEC-218</x:v>
      </x:c>
      <x:c r="B18" s="12" t="str">
        <x:v>LOCAL</x:v>
      </x:c>
      <x:c r="C18" s="12" t="str">
        <x:v>WP02</x:v>
      </x:c>
      <x:c r="D18" s="12" t="str">
        <x:v>저사양 메모리</x:v>
      </x:c>
      <x:c r="E18" s="12" t="str">
        <x:v>제한 heap 개발 PC 조건</x:v>
      </x:c>
      <x:c r="F18" s="12" t="str">
        <x:v>minimal/standard/full startup 측정</x:v>
      </x:c>
      <x:c r="G18" s="12" t="str">
        <x:v>정의된 메모리 상한과 OOM 없는 종료</x:v>
      </x:c>
      <x:c r="H18" s="12" t="str">
        <x:v>startup logs, process/port/memory snapshot</x:v>
      </x:c>
      <x:c r="I18" s="12" t="str">
        <x:v>WAS+MariaDB/Mock</x:v>
      </x:c>
    </x:row>
    <x:row r="19">
      <x:c r="A19" s="12" t="str">
        <x:v>CPF-QA-EXEC-219</x:v>
      </x:c>
      <x:c r="B19" s="12" t="str">
        <x:v>LOCAL</x:v>
      </x:c>
      <x:c r="C19" s="12" t="str">
        <x:v>WP02</x:v>
      </x:c>
      <x:c r="D19" s="12" t="str">
        <x:v>Local profile Production 차단</x:v>
      </x:c>
      <x:c r="E19" s="12" t="str">
        <x:v>production env + local profile</x:v>
      </x:c>
      <x:c r="F19" s="12" t="str">
        <x:v>기동 시도</x:v>
      </x:c>
      <x:c r="G19" s="12" t="str">
        <x:v>fail-fast하며 실수로 local fake가 운영에 활성화되지 않음</x:v>
      </x:c>
      <x:c r="H19" s="12" t="str">
        <x:v>startup logs, process/port/memory snapshot</x:v>
      </x:c>
      <x:c r="I19" s="12" t="str">
        <x:v>WAS+MariaDB/Mock</x:v>
      </x:c>
    </x:row>
    <x:row r="20">
      <x:c r="A20" s="12" t="str">
        <x:v>CPF-QA-EXEC-220</x:v>
      </x:c>
      <x:c r="B20" s="12" t="str">
        <x:v>BAT</x:v>
      </x:c>
      <x:c r="C20" s="12" t="str">
        <x:v>WP03-WP06</x:v>
      </x:c>
      <x:c r="D20" s="12" t="str">
        <x:v>일반 Job 정상 실행</x:v>
      </x:c>
      <x:c r="E20" s="12" t="str">
        <x:v>batDB + 10만 sample rows</x:v>
      </x:c>
      <x:c r="F20" s="12" t="str">
        <x:v>Job 등록→실행→완료 조회</x:v>
      </x:c>
      <x:c r="G20" s="12" t="str">
        <x:v>Job/Step/Chunk count와 DB 결과 정확</x:v>
      </x:c>
      <x:c r="H20" s="12" t="str">
        <x:v>batDB/API/ADM/log/metrics evidence</x:v>
      </x:c>
      <x:c r="I20" s="12" t="str">
        <x:v>WAS+MariaDB/Simulator</x:v>
      </x:c>
    </x:row>
    <x:row r="21">
      <x:c r="A21" s="12" t="str">
        <x:v>CPF-QA-EXEC-221</x:v>
      </x:c>
      <x:c r="B21" s="12" t="str">
        <x:v>BAT</x:v>
      </x:c>
      <x:c r="C21" s="12" t="str">
        <x:v>WP03-WP06</x:v>
      </x:c>
      <x:c r="D21" s="12" t="str">
        <x:v>DB Cursor 10만 건</x:v>
      </x:c>
      <x:c r="E21" s="12" t="str">
        <x:v>cursor reader + chunk 1000</x:v>
      </x:c>
      <x:c r="F21" s="12" t="str">
        <x:v>전체 처리</x:v>
      </x:c>
      <x:c r="G21" s="12" t="str">
        <x:v>bounded memory, 누락/중복 0</x:v>
      </x:c>
      <x:c r="H21" s="12" t="str">
        <x:v>batDB/API/ADM/log/metrics evidence</x:v>
      </x:c>
      <x:c r="I21" s="12" t="str">
        <x:v>WAS+MariaDB/Simulator</x:v>
      </x:c>
    </x:row>
    <x:row r="22">
      <x:c r="A22" s="12" t="str">
        <x:v>CPF-QA-EXEC-222</x:v>
      </x:c>
      <x:c r="B22" s="12" t="str">
        <x:v>BAT</x:v>
      </x:c>
      <x:c r="C22" s="12" t="str">
        <x:v>WP03-WP06</x:v>
      </x:c>
      <x:c r="D22" s="12" t="str">
        <x:v>DB Paging 10만 건</x:v>
      </x:c>
      <x:c r="E22" s="12" t="str">
        <x:v>paging reader</x:v>
      </x:c>
      <x:c r="F22" s="12" t="str">
        <x:v>전체 처리</x:v>
      </x:c>
      <x:c r="G22" s="12" t="str">
        <x:v>정렬 안정성, 누락/중복 0</x:v>
      </x:c>
      <x:c r="H22" s="12" t="str">
        <x:v>batDB/API/ADM/log/metrics evidence</x:v>
      </x:c>
      <x:c r="I22" s="12" t="str">
        <x:v>WAS+MariaDB/Simulator</x:v>
      </x:c>
    </x:row>
    <x:row r="23">
      <x:c r="A23" s="12" t="str">
        <x:v>CPF-QA-EXEC-223</x:v>
      </x:c>
      <x:c r="B23" s="12" t="str">
        <x:v>BAT</x:v>
      </x:c>
      <x:c r="C23" s="12" t="str">
        <x:v>WP03-WP06</x:v>
      </x:c>
      <x:c r="D23" s="12" t="str">
        <x:v>Keyset 10만 건</x:v>
      </x:c>
      <x:c r="E23" s="12" t="str">
        <x:v>keyset reader</x:v>
      </x:c>
      <x:c r="F23" s="12" t="str">
        <x:v>중간 insert/update 포함 실행</x:v>
      </x:c>
      <x:c r="G23" s="12" t="str">
        <x:v>일관된 checkpoint와 정책상 결과</x:v>
      </x:c>
      <x:c r="H23" s="12" t="str">
        <x:v>batDB/API/ADM/log/metrics evidence</x:v>
      </x:c>
      <x:c r="I23" s="12" t="str">
        <x:v>WAS+MariaDB/Simulator</x:v>
      </x:c>
    </x:row>
    <x:row r="24">
      <x:c r="A24" s="12" t="str">
        <x:v>CPF-QA-EXEC-224</x:v>
      </x:c>
      <x:c r="B24" s="12" t="str">
        <x:v>BAT</x:v>
      </x:c>
      <x:c r="C24" s="12" t="str">
        <x:v>WP03-WP06</x:v>
      </x:c>
      <x:c r="D24" s="12" t="str">
        <x:v>CSV 10만 건 Streaming</x:v>
      </x:c>
      <x:c r="E24" s="12" t="str">
        <x:v>large CSV</x:v>
      </x:c>
      <x:c r="F24" s="12" t="str">
        <x:v>stream read→validate→DB write</x:v>
      </x:c>
      <x:c r="G24" s="12" t="str">
        <x:v>전체 파일 메모리 적재 없음</x:v>
      </x:c>
      <x:c r="H24" s="12" t="str">
        <x:v>batDB/API/ADM/log/metrics evidence</x:v>
      </x:c>
      <x:c r="I24" s="12" t="str">
        <x:v>WAS+MariaDB/Simulator</x:v>
      </x:c>
    </x:row>
    <x:row r="25">
      <x:c r="A25" s="12" t="str">
        <x:v>CPF-QA-EXEC-225</x:v>
      </x:c>
      <x:c r="B25" s="12" t="str">
        <x:v>BAT</x:v>
      </x:c>
      <x:c r="C25" s="12" t="str">
        <x:v>WP03-WP06</x:v>
      </x:c>
      <x:c r="D25" s="12" t="str">
        <x:v>37번째 Chunk 장애 재시작</x:v>
      </x:c>
      <x:c r="E25" s="12" t="str">
        <x:v>chunk 1000, fault at 37</x:v>
      </x:c>
      <x:c r="F25" s="12" t="str">
        <x:v>실패→재시작</x:v>
      </x:c>
      <x:c r="G25" s="12" t="str">
        <x:v>36개 commit 보존, 이후 재처리, 중복 0</x:v>
      </x:c>
      <x:c r="H25" s="12" t="str">
        <x:v>batDB/API/ADM/log/metrics evidence</x:v>
      </x:c>
      <x:c r="I25" s="12" t="str">
        <x:v>WAS+MariaDB/Simulator</x:v>
      </x:c>
    </x:row>
    <x:row r="26">
      <x:c r="A26" s="12" t="str">
        <x:v>CPF-QA-EXEC-226</x:v>
      </x:c>
      <x:c r="B26" s="12" t="str">
        <x:v>BAT</x:v>
      </x:c>
      <x:c r="C26" s="12" t="str">
        <x:v>WP03-WP06</x:v>
      </x:c>
      <x:c r="D26" s="12" t="str">
        <x:v>Skip 한도</x:v>
      </x:c>
      <x:c r="E26" s="12" t="str">
        <x:v>invalid rows mixed</x:v>
      </x:c>
      <x:c r="F26" s="12" t="str">
        <x:v>skip limit 이내/초과 실행</x:v>
      </x:c>
      <x:c r="G26" s="12" t="str">
        <x:v>이내 성공+reject, 초과 명확한 실패</x:v>
      </x:c>
      <x:c r="H26" s="12" t="str">
        <x:v>batDB/API/ADM/log/metrics evidence</x:v>
      </x:c>
      <x:c r="I26" s="12" t="str">
        <x:v>WAS+MariaDB/Simulator</x:v>
      </x:c>
    </x:row>
    <x:row r="27">
      <x:c r="A27" s="12" t="str">
        <x:v>CPF-QA-EXEC-227</x:v>
      </x:c>
      <x:c r="B27" s="12" t="str">
        <x:v>BAT</x:v>
      </x:c>
      <x:c r="C27" s="12" t="str">
        <x:v>WP03-WP06</x:v>
      </x:c>
      <x:c r="D27" s="12" t="str">
        <x:v>Retry 소진</x:v>
      </x:c>
      <x:c r="E27" s="12" t="str">
        <x:v>transient then permanent error</x:v>
      </x:c>
      <x:c r="F27" s="12" t="str">
        <x:v>retry 실행</x:v>
      </x:c>
      <x:c r="G27" s="12" t="str">
        <x:v>bounded attempt, 상태/원인/다음조치 기록</x:v>
      </x:c>
      <x:c r="H27" s="12" t="str">
        <x:v>batDB/API/ADM/log/metrics evidence</x:v>
      </x:c>
      <x:c r="I27" s="12" t="str">
        <x:v>WAS+MariaDB/Simulator</x:v>
      </x:c>
    </x:row>
    <x:row r="28">
      <x:c r="A28" s="12" t="str">
        <x:v>CPF-QA-EXEC-228</x:v>
      </x:c>
      <x:c r="B28" s="12" t="str">
        <x:v>BAT</x:v>
      </x:c>
      <x:c r="C28" s="12" t="str">
        <x:v>WP03-WP06</x:v>
      </x:c>
      <x:c r="D28" s="12" t="str">
        <x:v>Reject File</x:v>
      </x:c>
      <x:c r="E28" s="12" t="str">
        <x:v>invalid file rows</x:v>
      </x:c>
      <x:c r="F28" s="12" t="str">
        <x:v>처리 후 reject 생성</x:v>
      </x:c>
      <x:c r="G28" s="12" t="str">
        <x:v>원본 식별·오류코드·마스킹·checksum</x:v>
      </x:c>
      <x:c r="H28" s="12" t="str">
        <x:v>batDB/API/ADM/log/metrics evidence</x:v>
      </x:c>
      <x:c r="I28" s="12" t="str">
        <x:v>WAS+MariaDB/Simulator</x:v>
      </x:c>
    </x:row>
    <x:row r="29">
      <x:c r="A29" s="12" t="str">
        <x:v>CPF-QA-EXEC-229</x:v>
      </x:c>
      <x:c r="B29" s="12" t="str">
        <x:v>BAT</x:v>
      </x:c>
      <x:c r="C29" s="12" t="str">
        <x:v>WP03-WP06</x:v>
      </x:c>
      <x:c r="D29" s="12" t="str">
        <x:v>중복 파일</x:v>
      </x:c>
      <x:c r="E29" s="12" t="str">
        <x:v>동일 fingerprint 두 번 수신</x:v>
      </x:c>
      <x:c r="F29" s="12" t="str">
        <x:v>두 번 trigger</x:v>
      </x:c>
      <x:c r="G29" s="12" t="str">
        <x:v>두 번째 멱등 거부 또는 정책상 replay</x:v>
      </x:c>
      <x:c r="H29" s="12" t="str">
        <x:v>batDB/API/ADM/log/metrics evidence</x:v>
      </x:c>
      <x:c r="I29" s="12" t="str">
        <x:v>WAS+MariaDB/Simulator</x:v>
      </x:c>
    </x:row>
    <x:row r="30">
      <x:c r="A30" s="12" t="str">
        <x:v>CPF-QA-EXEC-230</x:v>
      </x:c>
      <x:c r="B30" s="12" t="str">
        <x:v>BAT</x:v>
      </x:c>
      <x:c r="C30" s="12" t="str">
        <x:v>WP03-WP06</x:v>
      </x:c>
      <x:c r="D30" s="12" t="str">
        <x:v>여러 파일 병렬</x:v>
      </x:c>
      <x:c r="E30" s="12" t="str">
        <x:v>N input files</x:v>
      </x:c>
      <x:c r="F30" s="12" t="str">
        <x:v>병렬 처리</x:v>
      </x:c>
      <x:c r="G30" s="12" t="str">
        <x:v>파일별 상태와 전체 결과, 한 파일 실패 격리</x:v>
      </x:c>
      <x:c r="H30" s="12" t="str">
        <x:v>batDB/API/ADM/log/metrics evidence</x:v>
      </x:c>
      <x:c r="I30" s="12" t="str">
        <x:v>WAS+MariaDB/Simulator</x:v>
      </x:c>
    </x:row>
    <x:row r="31">
      <x:c r="A31" s="12" t="str">
        <x:v>CPF-QA-EXEC-231</x:v>
      </x:c>
      <x:c r="B31" s="12" t="str">
        <x:v>BAT</x:v>
      </x:c>
      <x:c r="C31" s="12" t="str">
        <x:v>WP03-WP06</x:v>
      </x:c>
      <x:c r="D31" s="12" t="str">
        <x:v>Header/Detail/Trailer 오류</x:v>
      </x:c>
      <x:c r="E31" s="12" t="str">
        <x:v>건수·합계 불일치 파일</x:v>
      </x:c>
      <x:c r="F31" s="12" t="str">
        <x:v>실행</x:v>
      </x:c>
      <x:c r="G31" s="12" t="str">
        <x:v>commit 전 검증 실패 또는 명확한 보상</x:v>
      </x:c>
      <x:c r="H31" s="12" t="str">
        <x:v>batDB/API/ADM/log/metrics evidence</x:v>
      </x:c>
      <x:c r="I31" s="12" t="str">
        <x:v>WAS+MariaDB/Simulator</x:v>
      </x:c>
    </x:row>
    <x:row r="32">
      <x:c r="A32" s="12" t="str">
        <x:v>CPF-QA-EXEC-232</x:v>
      </x:c>
      <x:c r="B32" s="12" t="str">
        <x:v>BAT</x:v>
      </x:c>
      <x:c r="C32" s="12" t="str">
        <x:v>WP03-WP06</x:v>
      </x:c>
      <x:c r="D32" s="12" t="str">
        <x:v>On-Demand 승인 실행</x:v>
      </x:c>
      <x:c r="E32" s="12" t="str">
        <x:v>위험 Job + 운영자</x:v>
      </x:c>
      <x:c r="F32" s="12" t="str">
        <x:v>preview→승인→실행</x:v>
      </x:c>
      <x:c r="G32" s="12" t="str">
        <x:v>권한/사유/approval/audit 연결</x:v>
      </x:c>
      <x:c r="H32" s="12" t="str">
        <x:v>batDB/API/ADM/log/metrics evidence</x:v>
      </x:c>
      <x:c r="I32" s="12" t="str">
        <x:v>WAS+MariaDB/Simulator</x:v>
      </x:c>
    </x:row>
    <x:row r="33">
      <x:c r="A33" s="12" t="str">
        <x:v>CPF-QA-EXEC-233</x:v>
      </x:c>
      <x:c r="B33" s="12" t="str">
        <x:v>BAT</x:v>
      </x:c>
      <x:c r="C33" s="12" t="str">
        <x:v>WP03-WP06</x:v>
      </x:c>
      <x:c r="D33" s="12" t="str">
        <x:v>Scheduled 중복 방지</x:v>
      </x:c>
      <x:c r="E33" s="12" t="str">
        <x:v>2 Scheduler shared DB</x:v>
      </x:c>
      <x:c r="F33" s="12" t="str">
        <x:v>동일 fire time</x:v>
      </x:c>
      <x:c r="G33" s="12" t="str">
        <x:v>실행 1회, lease/fencing 증적</x:v>
      </x:c>
      <x:c r="H33" s="12" t="str">
        <x:v>batDB/API/ADM/log/metrics evidence</x:v>
      </x:c>
      <x:c r="I33" s="12" t="str">
        <x:v>WAS+MariaDB/Simulator</x:v>
      </x:c>
    </x:row>
    <x:row r="34">
      <x:c r="A34" s="12" t="str">
        <x:v>CPF-QA-EXEC-234</x:v>
      </x:c>
      <x:c r="B34" s="12" t="str">
        <x:v>BAT</x:v>
      </x:c>
      <x:c r="C34" s="12" t="str">
        <x:v>WP03-WP06</x:v>
      </x:c>
      <x:c r="D34" s="12" t="str">
        <x:v>Scheduler 장애 인계</x:v>
      </x:c>
      <x:c r="E34" s="12" t="str">
        <x:v>leader scheduler kill</x:v>
      </x:c>
      <x:c r="F34" s="12" t="str">
        <x:v>lease expiry 후 takeover</x:v>
      </x:c>
      <x:c r="G34" s="12" t="str">
        <x:v>중복 fire 0, 지연 측정</x:v>
      </x:c>
      <x:c r="H34" s="12" t="str">
        <x:v>batDB/API/ADM/log/metrics evidence</x:v>
      </x:c>
      <x:c r="I34" s="12" t="str">
        <x:v>WAS+MariaDB/Simulator</x:v>
      </x:c>
    </x:row>
    <x:row r="35">
      <x:c r="A35" s="12" t="str">
        <x:v>CPF-QA-EXEC-235</x:v>
      </x:c>
      <x:c r="B35" s="12" t="str">
        <x:v>BAT</x:v>
      </x:c>
      <x:c r="C35" s="12" t="str">
        <x:v>WP03-WP06</x:v>
      </x:c>
      <x:c r="D35" s="12" t="str">
        <x:v>File Trigger atomic rename</x:v>
      </x:c>
      <x:c r="E35" s="12" t="str">
        <x:v>temp→final rename</x:v>
      </x:c>
      <x:c r="F35" s="12" t="str">
        <x:v>감시·실행</x:v>
      </x:c>
      <x:c r="G35" s="12" t="str">
        <x:v>완료 파일만 1회 실행</x:v>
      </x:c>
      <x:c r="H35" s="12" t="str">
        <x:v>batDB/API/ADM/log/metrics evidence</x:v>
      </x:c>
      <x:c r="I35" s="12" t="str">
        <x:v>WAS+MariaDB/Simulator</x:v>
      </x:c>
    </x:row>
    <x:row r="36">
      <x:c r="A36" s="12" t="str">
        <x:v>CPF-QA-EXEC-236</x:v>
      </x:c>
      <x:c r="B36" s="12" t="str">
        <x:v>BAT</x:v>
      </x:c>
      <x:c r="C36" s="12" t="str">
        <x:v>WP03-WP06</x:v>
      </x:c>
      <x:c r="D36" s="12" t="str">
        <x:v>Event Trigger duplicate</x:v>
      </x:c>
      <x:c r="E36" s="12" t="str">
        <x:v>same event twice</x:v>
      </x:c>
      <x:c r="F36" s="12" t="str">
        <x:v>consume</x:v>
      </x:c>
      <x:c r="G36" s="12" t="str">
        <x:v>Inbox/idempotency로 Job 1개</x:v>
      </x:c>
      <x:c r="H36" s="12" t="str">
        <x:v>batDB/API/ADM/log/metrics evidence</x:v>
      </x:c>
      <x:c r="I36" s="12" t="str">
        <x:v>WAS+MariaDB/Simulator</x:v>
      </x:c>
    </x:row>
    <x:row r="37">
      <x:c r="A37" s="12" t="str">
        <x:v>CPF-QA-EXEC-237</x:v>
      </x:c>
      <x:c r="B37" s="12" t="str">
        <x:v>BAT</x:v>
      </x:c>
      <x:c r="C37" s="12" t="str">
        <x:v>WP03-WP06</x:v>
      </x:c>
      <x:c r="D37" s="12" t="str">
        <x:v>Center-Cut 100만 대상 분할</x:v>
      </x:c>
      <x:c r="E37" s="12" t="str">
        <x:v>target extract + 10 workers</x:v>
      </x:c>
      <x:c r="F37" s="12" t="str">
        <x:v>분할·배정·실행</x:v>
      </x:c>
      <x:c r="G37" s="12" t="str">
        <x:v>균형·progress·정확한 완료</x:v>
      </x:c>
      <x:c r="H37" s="12" t="str">
        <x:v>batDB/API/ADM/log/metrics evidence</x:v>
      </x:c>
      <x:c r="I37" s="12" t="str">
        <x:v>WAS+MariaDB/Simulator</x:v>
      </x:c>
    </x:row>
    <x:row r="38">
      <x:c r="A38" s="12" t="str">
        <x:v>CPF-QA-EXEC-238</x:v>
      </x:c>
      <x:c r="B38" s="12" t="str">
        <x:v>BAT</x:v>
      </x:c>
      <x:c r="C38" s="12" t="str">
        <x:v>WP03-WP06</x:v>
      </x:c>
      <x:c r="D38" s="12" t="str">
        <x:v>Center-Cut Worker 장애</x:v>
      </x:c>
      <x:c r="E38" s="12" t="str">
        <x:v>worker mid partition kill</x:v>
      </x:c>
      <x:c r="F38" s="12" t="str">
        <x:v>lease expiry/reassign</x:v>
      </x:c>
      <x:c r="G38" s="12" t="str">
        <x:v>미완료만 재배정, 중복 side effect 0</x:v>
      </x:c>
      <x:c r="H38" s="12" t="str">
        <x:v>batDB/API/ADM/log/metrics evidence</x:v>
      </x:c>
      <x:c r="I38" s="12" t="str">
        <x:v>WAS+MariaDB/Simulator</x:v>
      </x:c>
    </x:row>
    <x:row r="39">
      <x:c r="A39" s="12" t="str">
        <x:v>CPF-QA-EXEC-239</x:v>
      </x:c>
      <x:c r="B39" s="12" t="str">
        <x:v>BAT</x:v>
      </x:c>
      <x:c r="C39" s="12" t="str">
        <x:v>WP03-WP06</x:v>
      </x:c>
      <x:c r="D39" s="12" t="str">
        <x:v>Workflow 선후행</x:v>
      </x:c>
      <x:c r="E39" s="12" t="str">
        <x:v>A→B→C</x:v>
      </x:c>
      <x:c r="F39" s="12" t="str">
        <x:v>A/B 성공·실패 조합</x:v>
      </x:c>
      <x:c r="G39" s="12" t="str">
        <x:v>dependency와 skip/compensation 정확</x:v>
      </x:c>
      <x:c r="H39" s="12" t="str">
        <x:v>batDB/API/ADM/log/metrics evidence</x:v>
      </x:c>
      <x:c r="I39" s="12" t="str">
        <x:v>WAS+MariaDB/Simulator</x:v>
      </x:c>
    </x:row>
    <x:row r="40">
      <x:c r="A40" s="12" t="str">
        <x:v>CPF-QA-EXEC-240</x:v>
      </x:c>
      <x:c r="B40" s="12" t="str">
        <x:v>BAT</x:v>
      </x:c>
      <x:c r="C40" s="12" t="str">
        <x:v>WP03-WP06</x:v>
      </x:c>
      <x:c r="D40" s="12" t="str">
        <x:v>Workflow 병렬·합류</x:v>
      </x:c>
      <x:c r="E40" s="12" t="str">
        <x:v>A→(B,C)→D</x:v>
      </x:c>
      <x:c r="F40" s="12" t="str">
        <x:v>B 또는 C 실패</x:v>
      </x:c>
      <x:c r="G40" s="12" t="str">
        <x:v>D 실행 정책 정확</x:v>
      </x:c>
      <x:c r="H40" s="12" t="str">
        <x:v>batDB/API/ADM/log/metrics evidence</x:v>
      </x:c>
      <x:c r="I40" s="12" t="str">
        <x:v>WAS+MariaDB/Simulator</x:v>
      </x:c>
    </x:row>
    <x:row r="41">
      <x:c r="A41" s="12" t="str">
        <x:v>CPF-QA-EXEC-241</x:v>
      </x:c>
      <x:c r="B41" s="12" t="str">
        <x:v>BAT</x:v>
      </x:c>
      <x:c r="C41" s="12" t="str">
        <x:v>WP03-WP06</x:v>
      </x:c>
      <x:c r="D41" s="12" t="str">
        <x:v>Housekeeping archive</x:v>
      </x:c>
      <x:c r="E41" s="12" t="str">
        <x:v>retention expired data</x:v>
      </x:c>
      <x:c r="F41" s="12" t="str">
        <x:v>archive+delete</x:v>
      </x:c>
      <x:c r="G41" s="12" t="str">
        <x:v>검증 후 삭제, 감사·복구 가능</x:v>
      </x:c>
      <x:c r="H41" s="12" t="str">
        <x:v>batDB/API/ADM/log/metrics evidence</x:v>
      </x:c>
      <x:c r="I41" s="12" t="str">
        <x:v>WAS+MariaDB/Simulator</x:v>
      </x:c>
    </x:row>
    <x:row r="42">
      <x:c r="A42" s="12" t="str">
        <x:v>CPF-QA-EXEC-242</x:v>
      </x:c>
      <x:c r="B42" s="12" t="str">
        <x:v>BAT</x:v>
      </x:c>
      <x:c r="C42" s="12" t="str">
        <x:v>WP03-WP06</x:v>
      </x:c>
      <x:c r="D42" s="12" t="str">
        <x:v>Migration initial load</x:v>
      </x:c>
      <x:c r="E42" s="12" t="str">
        <x:v>대량 초기 적재</x:v>
      </x:c>
      <x:c r="F42" s="12" t="str">
        <x:v>중간 DB outage→resume</x:v>
      </x:c>
      <x:c r="G42" s="12" t="str">
        <x:v>checkpoint 재개·중복 0</x:v>
      </x:c>
      <x:c r="H42" s="12" t="str">
        <x:v>batDB/API/ADM/log/metrics evidence</x:v>
      </x:c>
      <x:c r="I42" s="12" t="str">
        <x:v>WAS+MariaDB/Simulator</x:v>
      </x:c>
    </x:row>
    <x:row r="43">
      <x:c r="A43" s="12" t="str">
        <x:v>CPF-QA-EXEC-243</x:v>
      </x:c>
      <x:c r="B43" s="12" t="str">
        <x:v>BAT</x:v>
      </x:c>
      <x:c r="C43" s="12" t="str">
        <x:v>WP03-WP06</x:v>
      </x:c>
      <x:c r="D43" s="12" t="str">
        <x:v>Batch REST 호출</x:v>
      </x:c>
      <x:c r="E43" s="12" t="str">
        <x:v>mock external REST</x:v>
      </x:c>
      <x:c r="F43" s="12" t="str">
        <x:v>success/429/timeout/unknown</x:v>
      </x:c>
      <x:c r="G43" s="12" t="str">
        <x:v>retry/idempotency/unknown recovery 정확</x:v>
      </x:c>
      <x:c r="H43" s="12" t="str">
        <x:v>batDB/API/ADM/log/metrics evidence</x:v>
      </x:c>
      <x:c r="I43" s="12" t="str">
        <x:v>WAS+MariaDB/Simulator</x:v>
      </x:c>
    </x:row>
    <x:row r="44">
      <x:c r="A44" s="12" t="str">
        <x:v>CPF-QA-EXEC-244</x:v>
      </x:c>
      <x:c r="B44" s="12" t="str">
        <x:v>BAT</x:v>
      </x:c>
      <x:c r="C44" s="12" t="str">
        <x:v>WP03-WP06</x:v>
      </x:c>
      <x:c r="D44" s="12" t="str">
        <x:v>Batch TCP 전문 호출</x:v>
      </x:c>
      <x:c r="E44" s="12" t="str">
        <x:v>TCP simulator</x:v>
      </x:c>
      <x:c r="F44" s="12" t="str">
        <x:v>normal/malformed/timeout</x:v>
      </x:c>
      <x:c r="G44" s="12" t="str">
        <x:v>codec/error/recovery 정확</x:v>
      </x:c>
      <x:c r="H44" s="12" t="str">
        <x:v>batDB/API/ADM/log/metrics evidence</x:v>
      </x:c>
      <x:c r="I44" s="12" t="str">
        <x:v>WAS+MariaDB/Simulator</x:v>
      </x:c>
    </x:row>
    <x:row r="45">
      <x:c r="A45" s="12" t="str">
        <x:v>CPF-QA-EXEC-245</x:v>
      </x:c>
      <x:c r="B45" s="12" t="str">
        <x:v>BAT</x:v>
      </x:c>
      <x:c r="C45" s="12" t="str">
        <x:v>WP03-WP06</x:v>
      </x:c>
      <x:c r="D45" s="12" t="str">
        <x:v>Batch SOAP 호출</x:v>
      </x:c>
      <x:c r="E45" s="12" t="str">
        <x:v>SOAP simulator</x:v>
      </x:c>
      <x:c r="F45" s="12" t="str">
        <x:v>normal/fault/schema invalid</x:v>
      </x:c>
      <x:c r="G45" s="12" t="str">
        <x:v>Fault mapping·보안 정확</x:v>
      </x:c>
      <x:c r="H45" s="12" t="str">
        <x:v>batDB/API/ADM/log/metrics evidence</x:v>
      </x:c>
      <x:c r="I45" s="12" t="str">
        <x:v>WAS+MariaDB/Simulator</x:v>
      </x:c>
    </x:row>
    <x:row r="46">
      <x:c r="A46" s="12" t="str">
        <x:v>CPF-QA-EXEC-246</x:v>
      </x:c>
      <x:c r="B46" s="12" t="str">
        <x:v>BAT</x:v>
      </x:c>
      <x:c r="C46" s="12" t="str">
        <x:v>WP03-WP06</x:v>
      </x:c>
      <x:c r="D46" s="12" t="str">
        <x:v>Batch gRPC 호출</x:v>
      </x:c>
      <x:c r="E46" s="12" t="str">
        <x:v>gRPC simulator</x:v>
      </x:c>
      <x:c r="F46" s="12" t="str">
        <x:v>unary/deadline</x:v>
      </x:c>
      <x:c r="G46" s="12" t="str">
        <x:v>deadline/cancel/unknown 정확</x:v>
      </x:c>
      <x:c r="H46" s="12" t="str">
        <x:v>batDB/API/ADM/log/metrics evidence</x:v>
      </x:c>
      <x:c r="I46" s="12" t="str">
        <x:v>WAS+MariaDB/Simulator</x:v>
      </x:c>
    </x:row>
    <x:row r="47">
      <x:c r="A47" s="12" t="str">
        <x:v>CPF-QA-EXEC-247</x:v>
      </x:c>
      <x:c r="B47" s="12" t="str">
        <x:v>BAT</x:v>
      </x:c>
      <x:c r="C47" s="12" t="str">
        <x:v>WP03-WP06</x:v>
      </x:c>
      <x:c r="D47" s="12" t="str">
        <x:v>강제 Job 실행</x:v>
      </x:c>
      <x:c r="E47" s="12" t="str">
        <x:v>ADM operator</x:v>
      </x:c>
      <x:c r="F47" s="12" t="str">
        <x:v>preview→reason→approval→force run</x:v>
      </x:c>
      <x:c r="G47" s="12" t="str">
        <x:v>CAS·중복정책·audit</x:v>
      </x:c>
      <x:c r="H47" s="12" t="str">
        <x:v>batDB/API/ADM/log/metrics evidence</x:v>
      </x:c>
      <x:c r="I47" s="12" t="str">
        <x:v>WAS+MariaDB/Simulator</x:v>
      </x:c>
    </x:row>
    <x:row r="48">
      <x:c r="A48" s="12" t="str">
        <x:v>CPF-QA-EXEC-248</x:v>
      </x:c>
      <x:c r="B48" s="12" t="str">
        <x:v>BAT</x:v>
      </x:c>
      <x:c r="C48" s="12" t="str">
        <x:v>WP03-WP06</x:v>
      </x:c>
      <x:c r="D48" s="12" t="str">
        <x:v>Job 강제 Lock</x:v>
      </x:c>
      <x:c r="E48" s="12" t="str">
        <x:v>실행 가능 Job</x:v>
      </x:c>
      <x:c r="F48" s="12" t="str">
        <x:v>lock 설정→스케줄 도래</x:v>
      </x:c>
      <x:c r="G48" s="12" t="str">
        <x:v>신규 실행 차단, 기존 실행 정책 명확</x:v>
      </x:c>
      <x:c r="H48" s="12" t="str">
        <x:v>batDB/API/ADM/log/metrics evidence</x:v>
      </x:c>
      <x:c r="I48" s="12" t="str">
        <x:v>WAS+MariaDB/Simulator</x:v>
      </x:c>
    </x:row>
    <x:row r="49">
      <x:c r="A49" s="12" t="str">
        <x:v>CPF-QA-EXEC-249</x:v>
      </x:c>
      <x:c r="B49" s="12" t="str">
        <x:v>BAT</x:v>
      </x:c>
      <x:c r="C49" s="12" t="str">
        <x:v>WP03-WP06</x:v>
      </x:c>
      <x:c r="D49" s="12" t="str">
        <x:v>안전한 Lock 해제</x:v>
      </x:c>
      <x:c r="E49" s="12" t="str">
        <x:v>살아있는 owner와 dead owner</x:v>
      </x:c>
      <x:c r="F49" s="12" t="str">
        <x:v>해제 시도</x:v>
      </x:c>
      <x:c r="G49" s="12" t="str">
        <x:v>alive owner 오해제 차단, dead만 CAS 해제</x:v>
      </x:c>
      <x:c r="H49" s="12" t="str">
        <x:v>batDB/API/ADM/log/metrics evidence</x:v>
      </x:c>
      <x:c r="I49" s="12" t="str">
        <x:v>WAS+MariaDB/Simulator</x:v>
      </x:c>
    </x:row>
    <x:row r="50">
      <x:c r="A50" s="12" t="str">
        <x:v>CPF-QA-EXEC-250</x:v>
      </x:c>
      <x:c r="B50" s="12" t="str">
        <x:v>BAT</x:v>
      </x:c>
      <x:c r="C50" s="12" t="str">
        <x:v>WP03-WP06</x:v>
      </x:c>
      <x:c r="D50" s="12" t="str">
        <x:v>Ghost RUNNING 탐지</x:v>
      </x:c>
      <x:c r="E50" s="12" t="str">
        <x:v>process kill, DB RUNNING</x:v>
      </x:c>
      <x:c r="F50" s="12" t="str">
        <x:v>detector 실행</x:v>
      </x:c>
      <x:c r="G50" s="12" t="str">
        <x:v>ghost 상태·근거·복구 옵션 표시</x:v>
      </x:c>
      <x:c r="H50" s="12" t="str">
        <x:v>batDB/API/ADM/log/metrics evidence</x:v>
      </x:c>
      <x:c r="I50" s="12" t="str">
        <x:v>WAS+MariaDB/Simulator</x:v>
      </x:c>
    </x:row>
    <x:row r="51">
      <x:c r="A51" s="12" t="str">
        <x:v>CPF-QA-EXEC-251</x:v>
      </x:c>
      <x:c r="B51" s="12" t="str">
        <x:v>BAT</x:v>
      </x:c>
      <x:c r="C51" s="12" t="str">
        <x:v>WP03-WP06</x:v>
      </x:c>
      <x:c r="D51" s="12" t="str">
        <x:v>Ghost 실행 해제</x:v>
      </x:c>
      <x:c r="E51" s="12" t="str">
        <x:v>ghost confirmed</x:v>
      </x:c>
      <x:c r="F51" s="12" t="str">
        <x:v>approval→recover</x:v>
      </x:c>
      <x:c r="G51" s="12" t="str">
        <x:v>failure/recovery state, partition 안전 재배정</x:v>
      </x:c>
      <x:c r="H51" s="12" t="str">
        <x:v>batDB/API/ADM/log/metrics evidence</x:v>
      </x:c>
      <x:c r="I51" s="12" t="str">
        <x:v>WAS+MariaDB/Simulator</x:v>
      </x:c>
    </x:row>
    <x:row r="52">
      <x:c r="A52" s="12" t="str">
        <x:v>CPF-QA-EXEC-252</x:v>
      </x:c>
      <x:c r="B52" s="12" t="str">
        <x:v>BAT</x:v>
      </x:c>
      <x:c r="C52" s="12" t="str">
        <x:v>WP03-WP06</x:v>
      </x:c>
      <x:c r="D52" s="12" t="str">
        <x:v>Job 일시정지·재개</x:v>
      </x:c>
      <x:c r="E52" s="12" t="str">
        <x:v>long job</x:v>
      </x:c>
      <x:c r="F52" s="12" t="str">
        <x:v>pause→wait→resume</x:v>
      </x:c>
      <x:c r="G52" s="12" t="str">
        <x:v>checkpoint 일관, duplicate 0</x:v>
      </x:c>
      <x:c r="H52" s="12" t="str">
        <x:v>batDB/API/ADM/log/metrics evidence</x:v>
      </x:c>
      <x:c r="I52" s="12" t="str">
        <x:v>WAS+MariaDB/Simulator</x:v>
      </x:c>
    </x:row>
    <x:row r="53">
      <x:c r="A53" s="12" t="str">
        <x:v>CPF-QA-EXEC-253</x:v>
      </x:c>
      <x:c r="B53" s="12" t="str">
        <x:v>BAT</x:v>
      </x:c>
      <x:c r="C53" s="12" t="str">
        <x:v>WP03-WP06</x:v>
      </x:c>
      <x:c r="D53" s="12" t="str">
        <x:v>강제 종료</x:v>
      </x:c>
      <x:c r="E53" s="12" t="str">
        <x:v>long job</x:v>
      </x:c>
      <x:c r="F53" s="12" t="str">
        <x:v>force terminate</x:v>
      </x:c>
      <x:c r="G53" s="12" t="str">
        <x:v>unknown/dirty state를 성공으로 위장하지 않음</x:v>
      </x:c>
      <x:c r="H53" s="12" t="str">
        <x:v>batDB/API/ADM/log/metrics evidence</x:v>
      </x:c>
      <x:c r="I53" s="12" t="str">
        <x:v>WAS+MariaDB/Simulator</x:v>
      </x:c>
    </x:row>
    <x:row r="54">
      <x:c r="A54" s="12" t="str">
        <x:v>CPF-QA-EXEC-254</x:v>
      </x:c>
      <x:c r="B54" s="12" t="str">
        <x:v>BAT</x:v>
      </x:c>
      <x:c r="C54" s="12" t="str">
        <x:v>WP03-WP06</x:v>
      </x:c>
      <x:c r="D54" s="12" t="str">
        <x:v>특정 Chunk 재처리</x:v>
      </x:c>
      <x:c r="E54" s="12" t="str">
        <x:v>failed chunk known</x:v>
      </x:c>
      <x:c r="F54" s="12" t="str">
        <x:v>selective replay</x:v>
      </x:c>
      <x:c r="G54" s="12" t="str">
        <x:v>대상 외 side effect 0</x:v>
      </x:c>
      <x:c r="H54" s="12" t="str">
        <x:v>batDB/API/ADM/log/metrics evidence</x:v>
      </x:c>
      <x:c r="I54" s="12" t="str">
        <x:v>WAS+MariaDB/Simulator</x:v>
      </x:c>
    </x:row>
    <x:row r="55">
      <x:c r="A55" s="12" t="str">
        <x:v>CPF-QA-EXEC-255</x:v>
      </x:c>
      <x:c r="B55" s="12" t="str">
        <x:v>BAT</x:v>
      </x:c>
      <x:c r="C55" s="12" t="str">
        <x:v>WP03-WP06</x:v>
      </x:c>
      <x:c r="D55" s="12" t="str">
        <x:v>Checkpoint 수정</x:v>
      </x:c>
      <x:c r="E55" s="12" t="str">
        <x:v>승인된 recovery</x:v>
      </x:c>
      <x:c r="F55" s="12" t="str">
        <x:v>preview→change checkpoint</x:v>
      </x:c>
      <x:c r="G55" s="12" t="str">
        <x:v>version/audit/rollback 가능</x:v>
      </x:c>
      <x:c r="H55" s="12" t="str">
        <x:v>batDB/API/ADM/log/metrics evidence</x:v>
      </x:c>
      <x:c r="I55" s="12" t="str">
        <x:v>WAS+MariaDB/Simulator</x:v>
      </x:c>
    </x:row>
    <x:row r="56">
      <x:c r="A56" s="12" t="str">
        <x:v>CPF-QA-EXEC-256</x:v>
      </x:c>
      <x:c r="B56" s="12" t="str">
        <x:v>BAT</x:v>
      </x:c>
      <x:c r="C56" s="12" t="str">
        <x:v>WP03-WP06</x:v>
      </x:c>
      <x:c r="D56" s="12" t="str">
        <x:v>Worker 격리·복귀</x:v>
      </x:c>
      <x:c r="E56" s="12" t="str">
        <x:v>unhealthy worker</x:v>
      </x:c>
      <x:c r="F56" s="12" t="str">
        <x:v>isolate→drain→return</x:v>
      </x:c>
      <x:c r="G56" s="12" t="str">
        <x:v>신규 할당 차단 후 안전 복귀</x:v>
      </x:c>
      <x:c r="H56" s="12" t="str">
        <x:v>batDB/API/ADM/log/metrics evidence</x:v>
      </x:c>
      <x:c r="I56" s="12" t="str">
        <x:v>WAS+MariaDB/Simulator</x:v>
      </x:c>
    </x:row>
    <x:row r="57">
      <x:c r="A57" s="12" t="str">
        <x:v>CPF-QA-EXEC-257</x:v>
      </x:c>
      <x:c r="B57" s="12" t="str">
        <x:v>BAT</x:v>
      </x:c>
      <x:c r="C57" s="12" t="str">
        <x:v>WP03-WP06</x:v>
      </x:c>
      <x:c r="D57" s="12" t="str">
        <x:v>동시성 Runtime 변경</x:v>
      </x:c>
      <x:c r="E57" s="12" t="str">
        <x:v>worker concurrency 10→3</x:v>
      </x:c>
      <x:c r="F57" s="12" t="str">
        <x:v>inflight 중 change</x:v>
      </x:c>
      <x:c r="G57" s="12" t="str">
        <x:v>정책대로 drain/limit, ACK/actual 일치</x:v>
      </x:c>
      <x:c r="H57" s="12" t="str">
        <x:v>batDB/API/ADM/log/metrics evidence</x:v>
      </x:c>
      <x:c r="I57" s="12" t="str">
        <x:v>WAS+MariaDB/Simulator</x:v>
      </x:c>
    </x:row>
    <x:row r="58">
      <x:c r="A58" s="12" t="str">
        <x:v>CPF-QA-EXEC-258</x:v>
      </x:c>
      <x:c r="B58" s="12" t="str">
        <x:v>BAT</x:v>
      </x:c>
      <x:c r="C58" s="12" t="str">
        <x:v>WP03-WP06</x:v>
      </x:c>
      <x:c r="D58" s="12" t="str">
        <x:v>Center-Cut 중지·재분배</x:v>
      </x:c>
      <x:c r="E58" s="12" t="str">
        <x:v>active center-cut</x:v>
      </x:c>
      <x:c r="F58" s="12" t="str">
        <x:v>pause→rebalance→resume</x:v>
      </x:c>
      <x:c r="G58" s="12" t="str">
        <x:v>중복·유실 없는 재배분</x:v>
      </x:c>
      <x:c r="H58" s="12" t="str">
        <x:v>batDB/API/ADM/log/metrics evidence</x:v>
      </x:c>
      <x:c r="I58" s="12" t="str">
        <x:v>WAS+MariaDB/Simulator</x:v>
      </x:c>
    </x:row>
    <x:row r="59">
      <x:c r="A59" s="12" t="str">
        <x:v>CPF-QA-EXEC-259</x:v>
      </x:c>
      <x:c r="B59" s="12" t="str">
        <x:v>BAT</x:v>
      </x:c>
      <x:c r="C59" s="12" t="str">
        <x:v>WP03-WP06</x:v>
      </x:c>
      <x:c r="D59" s="12" t="str">
        <x:v>Batch 로그 다운로드</x:v>
      </x:c>
      <x:c r="E59" s="12" t="str">
        <x:v>specific worker instance</x:v>
      </x:c>
      <x:c r="F59" s="12" t="str">
        <x:v>ADM에서 file list→download</x:v>
      </x:c>
      <x:c r="G59" s="12" t="str">
        <x:v>실제 file, 권한·감사·cleanup</x:v>
      </x:c>
      <x:c r="H59" s="12" t="str">
        <x:v>batDB/API/ADM/log/metrics evidence</x:v>
      </x:c>
      <x:c r="I59" s="12" t="str">
        <x:v>WAS+MariaDB/Simulator</x:v>
      </x:c>
    </x:row>
    <x:row r="60">
      <x:c r="A60" s="12" t="str">
        <x:v>CPF-QA-EXEC-260</x:v>
      </x:c>
      <x:c r="B60" s="12" t="str">
        <x:v>BAT</x:v>
      </x:c>
      <x:c r="C60" s="12" t="str">
        <x:v>WP03-WP06</x:v>
      </x:c>
      <x:c r="D60" s="12" t="str">
        <x:v>Batch DB Metadata Upgrade</x:v>
      </x:c>
      <x:c r="E60" s="12" t="str">
        <x:v>existing job metadata</x:v>
      </x:c>
      <x:c r="F60" s="12" t="str">
        <x:v>migration apply/rollback/reapply</x:v>
      </x:c>
      <x:c r="G60" s="12" t="str">
        <x:v>정의·실행 이력 보존</x:v>
      </x:c>
      <x:c r="H60" s="12" t="str">
        <x:v>batDB/API/ADM/log/metrics evidence</x:v>
      </x:c>
      <x:c r="I60" s="12" t="str">
        <x:v>WAS+MariaDB/Simulator</x:v>
      </x:c>
    </x:row>
    <x:row r="61">
      <x:c r="A61" s="12" t="str">
        <x:v>CPF-QA-EXEC-261</x:v>
      </x:c>
      <x:c r="B61" s="12" t="str">
        <x:v>BAT</x:v>
      </x:c>
      <x:c r="C61" s="12" t="str">
        <x:v>WP03-WP06</x:v>
      </x:c>
      <x:c r="D61" s="12" t="str">
        <x:v>Batch Query Paging</x:v>
      </x:c>
      <x:c r="E61" s="12" t="str">
        <x:v>millions execution rows</x:v>
      </x:c>
      <x:c r="F61" s="12" t="str">
        <x:v>ADM search/paging</x:v>
      </x:c>
      <x:c r="G61" s="12" t="str">
        <x:v>server paging, index 사용, timeout 없음</x:v>
      </x:c>
      <x:c r="H61" s="12" t="str">
        <x:v>batDB/API/ADM/log/metrics evidence</x:v>
      </x:c>
      <x:c r="I61" s="12" t="str">
        <x:v>WAS+MariaDB/Simulator</x:v>
      </x:c>
    </x:row>
    <x:row r="62">
      <x:c r="A62" s="12" t="str">
        <x:v>CPF-QA-EXEC-262</x:v>
      </x:c>
      <x:c r="B62" s="12" t="str">
        <x:v>BAT</x:v>
      </x:c>
      <x:c r="C62" s="12" t="str">
        <x:v>WP03-WP06</x:v>
      </x:c>
      <x:c r="D62" s="12" t="str">
        <x:v>Batch 민감 파라미터</x:v>
      </x:c>
      <x:c r="E62" s="12" t="str">
        <x:v>secret parameter</x:v>
      </x:c>
      <x:c r="F62" s="12" t="str">
        <x:v>run/view/log/download</x:v>
      </x:c>
      <x:c r="G62" s="12" t="str">
        <x:v>원문 노출 0, secret reference만</x:v>
      </x:c>
      <x:c r="H62" s="12" t="str">
        <x:v>batDB/API/ADM/log/metrics evidence</x:v>
      </x:c>
      <x:c r="I62" s="12" t="str">
        <x:v>WAS+MariaDB/Simulator</x:v>
      </x:c>
    </x:row>
    <x:row r="63">
      <x:c r="A63" s="12" t="str">
        <x:v>CPF-QA-EXEC-263</x:v>
      </x:c>
      <x:c r="B63" s="12" t="str">
        <x:v>BAT</x:v>
      </x:c>
      <x:c r="C63" s="12" t="str">
        <x:v>WP03-WP06</x:v>
      </x:c>
      <x:c r="D63" s="12" t="str">
        <x:v>Batch 알림 연계</x:v>
      </x:c>
      <x:c r="E63" s="12" t="str">
        <x:v>Job ERROR/CRITICAL</x:v>
      </x:c>
      <x:c r="F63" s="12" t="str">
        <x:v>alert policy match</x:v>
      </x:c>
      <x:c r="G63" s="12" t="str">
        <x:v>outbox 비동기, 중복억제, incident 연결</x:v>
      </x:c>
      <x:c r="H63" s="12" t="str">
        <x:v>batDB/API/ADM/log/metrics evidence</x:v>
      </x:c>
      <x:c r="I63" s="12" t="str">
        <x:v>WAS+MariaDB/Simulator</x:v>
      </x:c>
    </x:row>
    <x:row r="64">
      <x:c r="A64" s="12" t="str">
        <x:v>CPF-QA-EXEC-264</x:v>
      </x:c>
      <x:c r="B64" s="12" t="str">
        <x:v>BAT</x:v>
      </x:c>
      <x:c r="C64" s="12" t="str">
        <x:v>WP03-WP06</x:v>
      </x:c>
      <x:c r="D64" s="12" t="str">
        <x:v>Batch process DB outage</x:v>
      </x:c>
      <x:c r="E64" s="12" t="str">
        <x:v>running job + batDB fault</x:v>
      </x:c>
      <x:c r="F64" s="12" t="str">
        <x:v>commit/checkpoint fault</x:v>
      </x:c>
      <x:c r="G64" s="12" t="str">
        <x:v>명확한 실패/unknown, silent success 0</x:v>
      </x:c>
      <x:c r="H64" s="12" t="str">
        <x:v>batDB/API/ADM/log/metrics evidence</x:v>
      </x:c>
      <x:c r="I64" s="12" t="str">
        <x:v>WAS+MariaDB/Simulator</x:v>
      </x:c>
    </x:row>
    <x:row r="65">
      <x:c r="A65" s="12" t="str">
        <x:v>CPF-QA-EXEC-265</x:v>
      </x:c>
      <x:c r="B65" s="12" t="str">
        <x:v>INT</x:v>
      </x:c>
      <x:c r="C65" s="12" t="str">
        <x:v>WP07-WP08</x:v>
      </x:c>
      <x:c r="D65" s="12" t="str">
        <x:v>Local/Remote service call contract</x:v>
      </x:c>
      <x:c r="E65" s="12" t="str">
        <x:v>same service in local and remote</x:v>
      </x:c>
      <x:c r="F65" s="12" t="str">
        <x:v>same request/headers</x:v>
      </x:c>
      <x:c r="G65" s="12" t="str">
        <x:v>response/error/trace parity</x:v>
      </x:c>
      <x:c r="H65" s="12" t="str">
        <x:v>contract/fault/evidence</x:v>
      </x:c>
      <x:c r="I65" s="12" t="str">
        <x:v>Simulator/Fake; real provider deferred</x:v>
      </x:c>
    </x:row>
    <x:row r="66">
      <x:c r="A66" s="12" t="str">
        <x:v>CPF-QA-EXEC-266</x:v>
      </x:c>
      <x:c r="B66" s="12" t="str">
        <x:v>INT</x:v>
      </x:c>
      <x:c r="C66" s="12" t="str">
        <x:v>WP07-WP08</x:v>
      </x:c>
      <x:c r="D66" s="12" t="str">
        <x:v>Response loss idempotency</x:v>
      </x:c>
      <x:c r="E66" s="12" t="str">
        <x:v>server commit then response drop</x:v>
      </x:c>
      <x:c r="F66" s="12" t="str">
        <x:v>retry same operationId</x:v>
      </x:c>
      <x:c r="G66" s="12" t="str">
        <x:v>exact replay, duplicate side effect 0</x:v>
      </x:c>
      <x:c r="H66" s="12" t="str">
        <x:v>contract/fault/evidence</x:v>
      </x:c>
      <x:c r="I66" s="12" t="str">
        <x:v>Simulator/Fake; real provider deferred</x:v>
      </x:c>
    </x:row>
    <x:row r="67">
      <x:c r="A67" s="12" t="str">
        <x:v>CPF-QA-EXEC-267</x:v>
      </x:c>
      <x:c r="B67" s="12" t="str">
        <x:v>INT</x:v>
      </x:c>
      <x:c r="C67" s="12" t="str">
        <x:v>WP07-WP08</x:v>
      </x:c>
      <x:c r="D67" s="12" t="str">
        <x:v>Saga compensation</x:v>
      </x:c>
      <x:c r="E67" s="12" t="str">
        <x:v>multi-step external flow</x:v>
      </x:c>
      <x:c r="F67" s="12" t="str">
        <x:v>step3 fail</x:v>
      </x:c>
      <x:c r="G67" s="12" t="str">
        <x:v>defined compensation and audit</x:v>
      </x:c>
      <x:c r="H67" s="12" t="str">
        <x:v>contract/fault/evidence</x:v>
      </x:c>
      <x:c r="I67" s="12" t="str">
        <x:v>Simulator/Fake; real provider deferred</x:v>
      </x:c>
    </x:row>
    <x:row r="68">
      <x:c r="A68" s="12" t="str">
        <x:v>CPF-QA-EXEC-268</x:v>
      </x:c>
      <x:c r="B68" s="12" t="str">
        <x:v>INT</x:v>
      </x:c>
      <x:c r="C68" s="12" t="str">
        <x:v>WP07-WP08</x:v>
      </x:c>
      <x:c r="D68" s="12" t="str">
        <x:v>Outbox broker publish</x:v>
      </x:c>
      <x:c r="E68" s="12" t="str">
        <x:v>DB mutation + simulator broker</x:v>
      </x:c>
      <x:c r="F68" s="12" t="str">
        <x:v>commit/fault/restart</x:v>
      </x:c>
      <x:c r="G68" s="12" t="str">
        <x:v>event exactly-once-effect and retry</x:v>
      </x:c>
      <x:c r="H68" s="12" t="str">
        <x:v>contract/fault/evidence</x:v>
      </x:c>
      <x:c r="I68" s="12" t="str">
        <x:v>Simulator/Fake; real provider deferred</x:v>
      </x:c>
    </x:row>
    <x:row r="69">
      <x:c r="A69" s="12" t="str">
        <x:v>CPF-QA-EXEC-269</x:v>
      </x:c>
      <x:c r="B69" s="12" t="str">
        <x:v>INT</x:v>
      </x:c>
      <x:c r="C69" s="12" t="str">
        <x:v>WP07-WP08</x:v>
      </x:c>
      <x:c r="D69" s="12" t="str">
        <x:v>Inbox duplicate</x:v>
      </x:c>
      <x:c r="E69" s="12" t="str">
        <x:v>same message N times</x:v>
      </x:c>
      <x:c r="F69" s="12" t="str">
        <x:v>consume concurrently</x:v>
      </x:c>
      <x:c r="G69" s="12" t="str">
        <x:v>business side effect once</x:v>
      </x:c>
      <x:c r="H69" s="12" t="str">
        <x:v>contract/fault/evidence</x:v>
      </x:c>
      <x:c r="I69" s="12" t="str">
        <x:v>Simulator/Fake; real provider deferred</x:v>
      </x:c>
    </x:row>
    <x:row r="70">
      <x:c r="A70" s="12" t="str">
        <x:v>CPF-QA-EXEC-270</x:v>
      </x:c>
      <x:c r="B70" s="12" t="str">
        <x:v>INT</x:v>
      </x:c>
      <x:c r="C70" s="12" t="str">
        <x:v>WP07-WP08</x:v>
      </x:c>
      <x:c r="D70" s="12" t="str">
        <x:v>TCP fixed-length</x:v>
      </x:c>
      <x:c r="E70" s="12" t="str">
        <x:v>TCP simulator</x:v>
      </x:c>
      <x:c r="F70" s="12" t="str">
        <x:v>valid request/response</x:v>
      </x:c>
      <x:c r="G70" s="12" t="str">
        <x:v>layout/correlation/trace correct</x:v>
      </x:c>
      <x:c r="H70" s="12" t="str">
        <x:v>contract/fault/evidence</x:v>
      </x:c>
      <x:c r="I70" s="12" t="str">
        <x:v>Simulator/Fake; real provider deferred</x:v>
      </x:c>
    </x:row>
    <x:row r="71">
      <x:c r="A71" s="12" t="str">
        <x:v>CPF-QA-EXEC-271</x:v>
      </x:c>
      <x:c r="B71" s="12" t="str">
        <x:v>INT</x:v>
      </x:c>
      <x:c r="C71" s="12" t="str">
        <x:v>WP07-WP08</x:v>
      </x:c>
      <x:c r="D71" s="12" t="str">
        <x:v>TCP malformed length</x:v>
      </x:c>
      <x:c r="E71" s="12" t="str">
        <x:v>bad frame</x:v>
      </x:c>
      <x:c r="F71" s="12" t="str">
        <x:v>receive</x:v>
      </x:c>
      <x:c r="G71" s="12" t="str">
        <x:v>bounded rejection, connection policy correct</x:v>
      </x:c>
      <x:c r="H71" s="12" t="str">
        <x:v>contract/fault/evidence</x:v>
      </x:c>
      <x:c r="I71" s="12" t="str">
        <x:v>Simulator/Fake; real provider deferred</x:v>
      </x:c>
    </x:row>
    <x:row r="72">
      <x:c r="A72" s="12" t="str">
        <x:v>CPF-QA-EXEC-272</x:v>
      </x:c>
      <x:c r="B72" s="12" t="str">
        <x:v>INT</x:v>
      </x:c>
      <x:c r="C72" s="12" t="str">
        <x:v>WP07-WP08</x:v>
      </x:c>
      <x:c r="D72" s="12" t="str">
        <x:v>TCP reconnect</x:v>
      </x:c>
      <x:c r="E72" s="12" t="str">
        <x:v>connection drop</x:v>
      </x:c>
      <x:c r="F72" s="12" t="str">
        <x:v>retry/reconnect</x:v>
      </x:c>
      <x:c r="G72" s="12" t="str">
        <x:v>bounded and no duplicate unsafe request</x:v>
      </x:c>
      <x:c r="H72" s="12" t="str">
        <x:v>contract/fault/evidence</x:v>
      </x:c>
      <x:c r="I72" s="12" t="str">
        <x:v>Simulator/Fake; real provider deferred</x:v>
      </x:c>
    </x:row>
    <x:row r="73">
      <x:c r="A73" s="12" t="str">
        <x:v>CPF-QA-EXEC-273</x:v>
      </x:c>
      <x:c r="B73" s="12" t="str">
        <x:v>INT</x:v>
      </x:c>
      <x:c r="C73" s="12" t="str">
        <x:v>WP07-WP08</x:v>
      </x:c>
      <x:c r="D73" s="12" t="str">
        <x:v>TCP mTLS</x:v>
      </x:c>
      <x:c r="E73" s="12" t="str">
        <x:v>test certs</x:v>
      </x:c>
      <x:c r="F73" s="12" t="str">
        <x:v>valid/invalid/expired</x:v>
      </x:c>
      <x:c r="G73" s="12" t="str">
        <x:v>fail-closed and audit</x:v>
      </x:c>
      <x:c r="H73" s="12" t="str">
        <x:v>contract/fault/evidence</x:v>
      </x:c>
      <x:c r="I73" s="12" t="str">
        <x:v>Simulator/Fake; real provider deferred</x:v>
      </x:c>
    </x:row>
    <x:row r="74">
      <x:c r="A74" s="12" t="str">
        <x:v>CPF-QA-EXEC-274</x:v>
      </x:c>
      <x:c r="B74" s="12" t="str">
        <x:v>INT</x:v>
      </x:c>
      <x:c r="C74" s="12" t="str">
        <x:v>WP07-WP08</x:v>
      </x:c>
      <x:c r="D74" s="12" t="str">
        <x:v>HTTP typed client</x:v>
      </x:c>
      <x:c r="E74" s="12" t="str">
        <x:v>generated client</x:v>
      </x:c>
      <x:c r="F74" s="12" t="str">
        <x:v>normal/error</x:v>
      </x:c>
      <x:c r="G74" s="12" t="str">
        <x:v>CPF runtime policy applied</x:v>
      </x:c>
      <x:c r="H74" s="12" t="str">
        <x:v>contract/fault/evidence</x:v>
      </x:c>
      <x:c r="I74" s="12" t="str">
        <x:v>Simulator/Fake; real provider deferred</x:v>
      </x:c>
    </x:row>
    <x:row r="75">
      <x:c r="A75" s="12" t="str">
        <x:v>CPF-QA-EXEC-275</x:v>
      </x:c>
      <x:c r="B75" s="12" t="str">
        <x:v>INT</x:v>
      </x:c>
      <x:c r="C75" s="12" t="str">
        <x:v>WP07-WP08</x:v>
      </x:c>
      <x:c r="D75" s="12" t="str">
        <x:v>HTTP multipart streaming</x:v>
      </x:c>
      <x:c r="E75" s="12" t="str">
        <x:v>large multipart</x:v>
      </x:c>
      <x:c r="F75" s="12" t="str">
        <x:v>proxy/call</x:v>
      </x:c>
      <x:c r="G75" s="12" t="str">
        <x:v>bounded memory and content integrity</x:v>
      </x:c>
      <x:c r="H75" s="12" t="str">
        <x:v>contract/fault/evidence</x:v>
      </x:c>
      <x:c r="I75" s="12" t="str">
        <x:v>Simulator/Fake; real provider deferred</x:v>
      </x:c>
    </x:row>
    <x:row r="76">
      <x:c r="A76" s="12" t="str">
        <x:v>CPF-QA-EXEC-276</x:v>
      </x:c>
      <x:c r="B76" s="12" t="str">
        <x:v>INT</x:v>
      </x:c>
      <x:c r="C76" s="12" t="str">
        <x:v>WP07-WP08</x:v>
      </x:c>
      <x:c r="D76" s="12" t="str">
        <x:v>HTTP 429 Retry-After</x:v>
      </x:c>
      <x:c r="E76" s="12" t="str">
        <x:v>simulator 429</x:v>
      </x:c>
      <x:c r="F76" s="12" t="str">
        <x:v>call</x:v>
      </x:c>
      <x:c r="G76" s="12" t="str">
        <x:v>policy-respecting delay and attempts</x:v>
      </x:c>
      <x:c r="H76" s="12" t="str">
        <x:v>contract/fault/evidence</x:v>
      </x:c>
      <x:c r="I76" s="12" t="str">
        <x:v>Simulator/Fake; real provider deferred</x:v>
      </x:c>
    </x:row>
    <x:row r="77">
      <x:c r="A77" s="12" t="str">
        <x:v>CPF-QA-EXEC-277</x:v>
      </x:c>
      <x:c r="B77" s="12" t="str">
        <x:v>INT</x:v>
      </x:c>
      <x:c r="C77" s="12" t="str">
        <x:v>WP07-WP08</x:v>
      </x:c>
      <x:c r="D77" s="12" t="str">
        <x:v>HTTP unknown result</x:v>
      </x:c>
      <x:c r="E77" s="12" t="str">
        <x:v>write request response loss</x:v>
      </x:c>
      <x:c r="F77" s="12" t="str">
        <x:v>reconcile</x:v>
      </x:c>
      <x:c r="G77" s="12" t="str">
        <x:v>UNKNOWN_RESULT then confirmed state</x:v>
      </x:c>
      <x:c r="H77" s="12" t="str">
        <x:v>contract/fault/evidence</x:v>
      </x:c>
      <x:c r="I77" s="12" t="str">
        <x:v>Simulator/Fake; real provider deferred</x:v>
      </x:c>
    </x:row>
    <x:row r="78">
      <x:c r="A78" s="12" t="str">
        <x:v>CPF-QA-EXEC-278</x:v>
      </x:c>
      <x:c r="B78" s="12" t="str">
        <x:v>INT</x:v>
      </x:c>
      <x:c r="C78" s="12" t="str">
        <x:v>WP07-WP08</x:v>
      </x:c>
      <x:c r="D78" s="12" t="str">
        <x:v>SOAP XXE negative</x:v>
      </x:c>
      <x:c r="E78" s="12" t="str">
        <x:v>malicious XML</x:v>
      </x:c>
      <x:c r="F78" s="12" t="str">
        <x:v>call/parse</x:v>
      </x:c>
      <x:c r="G78" s="12" t="str">
        <x:v>external entity blocked</x:v>
      </x:c>
      <x:c r="H78" s="12" t="str">
        <x:v>contract/fault/evidence</x:v>
      </x:c>
      <x:c r="I78" s="12" t="str">
        <x:v>Simulator/Fake; real provider deferred</x:v>
      </x:c>
    </x:row>
    <x:row r="79">
      <x:c r="A79" s="12" t="str">
        <x:v>CPF-QA-EXEC-279</x:v>
      </x:c>
      <x:c r="B79" s="12" t="str">
        <x:v>INT</x:v>
      </x:c>
      <x:c r="C79" s="12" t="str">
        <x:v>WP07-WP08</x:v>
      </x:c>
      <x:c r="D79" s="12" t="str">
        <x:v>SOAP Fault mapping</x:v>
      </x:c>
      <x:c r="E79" s="12" t="str">
        <x:v>SOAP fault</x:v>
      </x:c>
      <x:c r="F79" s="12" t="str">
        <x:v>call</x:v>
      </x:c>
      <x:c r="G79" s="12" t="str">
        <x:v>provider-neutral CPF error</x:v>
      </x:c>
      <x:c r="H79" s="12" t="str">
        <x:v>contract/fault/evidence</x:v>
      </x:c>
      <x:c r="I79" s="12" t="str">
        <x:v>Simulator/Fake; real provider deferred</x:v>
      </x:c>
    </x:row>
    <x:row r="80">
      <x:c r="A80" s="12" t="str">
        <x:v>CPF-QA-EXEC-280</x:v>
      </x:c>
      <x:c r="B80" s="12" t="str">
        <x:v>INT</x:v>
      </x:c>
      <x:c r="C80" s="12" t="str">
        <x:v>WP07-WP08</x:v>
      </x:c>
      <x:c r="D80" s="12" t="str">
        <x:v>gRPC deadline</x:v>
      </x:c>
      <x:c r="E80" s="12" t="str">
        <x:v>slow server</x:v>
      </x:c>
      <x:c r="F80" s="12" t="str">
        <x:v>call</x:v>
      </x:c>
      <x:c r="G80" s="12" t="str">
        <x:v>deadline propagation and cancellation</x:v>
      </x:c>
      <x:c r="H80" s="12" t="str">
        <x:v>contract/fault/evidence</x:v>
      </x:c>
      <x:c r="I80" s="12" t="str">
        <x:v>Simulator/Fake; real provider deferred</x:v>
      </x:c>
    </x:row>
    <x:row r="81">
      <x:c r="A81" s="12" t="str">
        <x:v>CPF-QA-EXEC-281</x:v>
      </x:c>
      <x:c r="B81" s="12" t="str">
        <x:v>INT</x:v>
      </x:c>
      <x:c r="C81" s="12" t="str">
        <x:v>WP07-WP08</x:v>
      </x:c>
      <x:c r="D81" s="12" t="str">
        <x:v>Kafka poison message</x:v>
      </x:c>
      <x:c r="E81" s="12" t="str">
        <x:v>simulator failing message</x:v>
      </x:c>
      <x:c r="F81" s="12" t="str">
        <x:v>consume</x:v>
      </x:c>
      <x:c r="G81" s="12" t="str">
        <x:v>retry→DLQ, next message progresses</x:v>
      </x:c>
      <x:c r="H81" s="12" t="str">
        <x:v>contract/fault/evidence</x:v>
      </x:c>
      <x:c r="I81" s="12" t="str">
        <x:v>Simulator/Fake; real provider deferred</x:v>
      </x:c>
    </x:row>
    <x:row r="82">
      <x:c r="A82" s="12" t="str">
        <x:v>CPF-QA-EXEC-282</x:v>
      </x:c>
      <x:c r="B82" s="12" t="str">
        <x:v>INT</x:v>
      </x:c>
      <x:c r="C82" s="12" t="str">
        <x:v>WP07-WP08</x:v>
      </x:c>
      <x:c r="D82" s="12" t="str">
        <x:v>Kafka ordering</x:v>
      </x:c>
      <x:c r="E82" s="12" t="str">
        <x:v>same key parallel load</x:v>
      </x:c>
      <x:c r="F82" s="12" t="str">
        <x:v>consume</x:v>
      </x:c>
      <x:c r="G82" s="12" t="str">
        <x:v>per-key ordering retained</x:v>
      </x:c>
      <x:c r="H82" s="12" t="str">
        <x:v>contract/fault/evidence</x:v>
      </x:c>
      <x:c r="I82" s="12" t="str">
        <x:v>Simulator/Fake; real provider deferred</x:v>
      </x:c>
    </x:row>
    <x:row r="83">
      <x:c r="A83" s="12" t="str">
        <x:v>CPF-QA-EXEC-283</x:v>
      </x:c>
      <x:c r="B83" s="12" t="str">
        <x:v>INT</x:v>
      </x:c>
      <x:c r="C83" s="12" t="str">
        <x:v>WP07-WP08</x:v>
      </x:c>
      <x:c r="D83" s="12" t="str">
        <x:v>Schema version compatibility</x:v>
      </x:c>
      <x:c r="E83" s="12" t="str">
        <x:v>v1/v2 producer consumer</x:v>
      </x:c>
      <x:c r="F83" s="12" t="str">
        <x:v>mixed messages</x:v>
      </x:c>
      <x:c r="G83" s="12" t="str">
        <x:v>compatible or explicit reject</x:v>
      </x:c>
      <x:c r="H83" s="12" t="str">
        <x:v>contract/fault/evidence</x:v>
      </x:c>
      <x:c r="I83" s="12" t="str">
        <x:v>Simulator/Fake; real provider deferred</x:v>
      </x:c>
    </x:row>
    <x:row r="84">
      <x:c r="A84" s="12" t="str">
        <x:v>CPF-QA-EXEC-284</x:v>
      </x:c>
      <x:c r="B84" s="12" t="str">
        <x:v>INT</x:v>
      </x:c>
      <x:c r="C84" s="12" t="str">
        <x:v>WP07-WP08</x:v>
      </x:c>
      <x:c r="D84" s="12" t="str">
        <x:v>Redis stampede</x:v>
      </x:c>
      <x:c r="E84" s="12" t="str">
        <x:v>fake cache expiry + concurrent requests</x:v>
      </x:c>
      <x:c r="F84" s="12" t="str">
        <x:v>load</x:v>
      </x:c>
      <x:c r="G84" s="12" t="str">
        <x:v>single-flight/bounded backend load</x:v>
      </x:c>
      <x:c r="H84" s="12" t="str">
        <x:v>contract/fault/evidence</x:v>
      </x:c>
      <x:c r="I84" s="12" t="str">
        <x:v>Simulator/Fake; real provider deferred</x:v>
      </x:c>
    </x:row>
    <x:row r="85">
      <x:c r="A85" s="12" t="str">
        <x:v>CPF-QA-EXEC-285</x:v>
      </x:c>
      <x:c r="B85" s="12" t="str">
        <x:v>INT</x:v>
      </x:c>
      <x:c r="C85" s="12" t="str">
        <x:v>WP07-WP08</x:v>
      </x:c>
      <x:c r="D85" s="12" t="str">
        <x:v>Redis lock owner loss</x:v>
      </x:c>
      <x:c r="E85" s="12" t="str">
        <x:v>fake lease expiry</x:v>
      </x:c>
      <x:c r="F85" s="12" t="str">
        <x:v>old owner release</x:v>
      </x:c>
      <x:c r="G85" s="12" t="str">
        <x:v>new owner lock not deleted</x:v>
      </x:c>
      <x:c r="H85" s="12" t="str">
        <x:v>contract/fault/evidence</x:v>
      </x:c>
      <x:c r="I85" s="12" t="str">
        <x:v>Simulator/Fake; real provider deferred</x:v>
      </x:c>
    </x:row>
    <x:row r="86">
      <x:c r="A86" s="12" t="str">
        <x:v>CPF-QA-EXEC-286</x:v>
      </x:c>
      <x:c r="B86" s="12" t="str">
        <x:v>INT</x:v>
      </x:c>
      <x:c r="C86" s="12" t="str">
        <x:v>WP07-WP08</x:v>
      </x:c>
      <x:c r="D86" s="12" t="str">
        <x:v>Webhook signature</x:v>
      </x:c>
      <x:c r="E86" s="12" t="str">
        <x:v>valid/invalid/replay</x:v>
      </x:c>
      <x:c r="F86" s="12" t="str">
        <x:v>receive/send</x:v>
      </x:c>
      <x:c r="G86" s="12" t="str">
        <x:v>signature/nonce/timestamp policy</x:v>
      </x:c>
      <x:c r="H86" s="12" t="str">
        <x:v>contract/fault/evidence</x:v>
      </x:c>
      <x:c r="I86" s="12" t="str">
        <x:v>Simulator/Fake; real provider deferred</x:v>
      </x:c>
    </x:row>
    <x:row r="87">
      <x:c r="A87" s="12" t="str">
        <x:v>CPF-QA-EXEC-287</x:v>
      </x:c>
      <x:c r="B87" s="12" t="str">
        <x:v>INT</x:v>
      </x:c>
      <x:c r="C87" s="12" t="str">
        <x:v>WP07-WP08</x:v>
      </x:c>
      <x:c r="D87" s="12" t="str">
        <x:v>SFTP resume</x:v>
      </x:c>
      <x:c r="E87" s="12" t="str">
        <x:v>simulated connection drop</x:v>
      </x:c>
      <x:c r="F87" s="12" t="str">
        <x:v>download resume</x:v>
      </x:c>
      <x:c r="G87" s="12" t="str">
        <x:v>checksum exact and no duplicate process</x:v>
      </x:c>
      <x:c r="H87" s="12" t="str">
        <x:v>contract/fault/evidence</x:v>
      </x:c>
      <x:c r="I87" s="12" t="str">
        <x:v>Simulator/Fake; real provider deferred</x:v>
      </x:c>
    </x:row>
    <x:row r="88">
      <x:c r="A88" s="12" t="str">
        <x:v>CPF-QA-EXEC-288</x:v>
      </x:c>
      <x:c r="B88" s="12" t="str">
        <x:v>INT</x:v>
      </x:c>
      <x:c r="C88" s="12" t="str">
        <x:v>WP07-WP08</x:v>
      </x:c>
      <x:c r="D88" s="12" t="str">
        <x:v>Object storage multipart</x:v>
      </x:c>
      <x:c r="E88" s="12" t="str">
        <x:v>fake provider</x:v>
      </x:c>
      <x:c r="F88" s="12" t="str">
        <x:v>large upload fault</x:v>
      </x:c>
      <x:c r="G88" s="12" t="str">
        <x:v>resume/abort/cleanup</x:v>
      </x:c>
      <x:c r="H88" s="12" t="str">
        <x:v>contract/fault/evidence</x:v>
      </x:c>
      <x:c r="I88" s="12" t="str">
        <x:v>Simulator/Fake; real provider deferred</x:v>
      </x:c>
    </x:row>
    <x:row r="89">
      <x:c r="A89" s="12" t="str">
        <x:v>CPF-QA-EXEC-289</x:v>
      </x:c>
      <x:c r="B89" s="12" t="str">
        <x:v>INT</x:v>
      </x:c>
      <x:c r="C89" s="12" t="str">
        <x:v>WP07-WP08</x:v>
      </x:c>
      <x:c r="D89" s="12" t="str">
        <x:v>CDC duplicate/out-of-order</x:v>
      </x:c>
      <x:c r="E89" s="12" t="str">
        <x:v>simulated changes</x:v>
      </x:c>
      <x:c r="F89" s="12" t="str">
        <x:v>consume</x:v>
      </x:c>
      <x:c r="G89" s="12" t="str">
        <x:v>version/idempotency policy</x:v>
      </x:c>
      <x:c r="H89" s="12" t="str">
        <x:v>contract/fault/evidence</x:v>
      </x:c>
      <x:c r="I89" s="12" t="str">
        <x:v>Simulator/Fake; real provider deferred</x:v>
      </x:c>
    </x:row>
    <x:row r="90">
      <x:c r="A90" s="12" t="str">
        <x:v>CPF-QA-EXEC-290</x:v>
      </x:c>
      <x:c r="B90" s="12" t="str">
        <x:v>INT</x:v>
      </x:c>
      <x:c r="C90" s="12" t="str">
        <x:v>WP07-WP08</x:v>
      </x:c>
      <x:c r="D90" s="12" t="str">
        <x:v>Secret reload</x:v>
      </x:c>
      <x:c r="E90" s="12" t="str">
        <x:v>test secret reference version</x:v>
      </x:c>
      <x:c r="F90" s="12" t="str">
        <x:v>rotate</x:v>
      </x:c>
      <x:c r="G90" s="12" t="str">
        <x:v>dual grace/ACK/no raw secret</x:v>
      </x:c>
      <x:c r="H90" s="12" t="str">
        <x:v>contract/fault/evidence</x:v>
      </x:c>
      <x:c r="I90" s="12" t="str">
        <x:v>Simulator/Fake; real provider deferred</x:v>
      </x:c>
    </x:row>
    <x:row r="91">
      <x:c r="A91" s="12" t="str">
        <x:v>CPF-QA-EXEC-291</x:v>
      </x:c>
      <x:c r="B91" s="12" t="str">
        <x:v>INT</x:v>
      </x:c>
      <x:c r="C91" s="12" t="str">
        <x:v>WP07-WP08</x:v>
      </x:c>
      <x:c r="D91" s="12" t="str">
        <x:v>Protocol translation REST→TCP</x:v>
      </x:c>
      <x:c r="E91" s="12" t="str">
        <x:v>REST ingress + TCP simulator</x:v>
      </x:c>
      <x:c r="F91" s="12" t="str">
        <x:v>call</x:v>
      </x:c>
      <x:c r="G91" s="12" t="str">
        <x:v>header/error/correlation preserved</x:v>
      </x:c>
      <x:c r="H91" s="12" t="str">
        <x:v>contract/fault/evidence</x:v>
      </x:c>
      <x:c r="I91" s="12" t="str">
        <x:v>Simulator/Fake; real provider deferred</x:v>
      </x:c>
    </x:row>
    <x:row r="92">
      <x:c r="A92" s="12" t="str">
        <x:v>CPF-QA-EXEC-292</x:v>
      </x:c>
      <x:c r="B92" s="12" t="str">
        <x:v>INT</x:v>
      </x:c>
      <x:c r="C92" s="12" t="str">
        <x:v>WP07-WP08</x:v>
      </x:c>
      <x:c r="D92" s="12" t="str">
        <x:v>Offline bundle</x:v>
      </x:c>
      <x:c r="E92" s="12" t="str">
        <x:v>network blocked</x:v>
      </x:c>
      <x:c r="F92" s="12" t="str">
        <x:v>run EDU/testkit</x:v>
      </x:c>
      <x:c r="G92" s="12" t="str">
        <x:v>no external dependency download</x:v>
      </x:c>
      <x:c r="H92" s="12" t="str">
        <x:v>contract/fault/evidence</x:v>
      </x:c>
      <x:c r="I92" s="12" t="str">
        <x:v>Simulator/Fake; real provider deferred</x:v>
      </x:c>
    </x:row>
    <x:row r="93">
      <x:c r="A93" s="12" t="str">
        <x:v>CPF-QA-EXEC-293</x:v>
      </x:c>
      <x:c r="B93" s="12" t="str">
        <x:v>INT</x:v>
      </x:c>
      <x:c r="C93" s="12" t="str">
        <x:v>WP07-WP08</x:v>
      </x:c>
      <x:c r="D93" s="12" t="str">
        <x:v>Provider swap</x:v>
      </x:c>
      <x:c r="E93" s="12" t="str">
        <x:v>adapter A/B</x:v>
      </x:c>
      <x:c r="F93" s="12" t="str">
        <x:v>same contract suite</x:v>
      </x:c>
      <x:c r="G93" s="12" t="str">
        <x:v>no public API change, same semantics</x:v>
      </x:c>
      <x:c r="H93" s="12" t="str">
        <x:v>contract/fault/evidence</x:v>
      </x:c>
      <x:c r="I93" s="12" t="str">
        <x:v>Simulator/Fake; real provider deferred</x:v>
      </x:c>
    </x:row>
    <x:row r="94">
      <x:c r="A94" s="12" t="str">
        <x:v>CPF-QA-EXEC-294</x:v>
      </x:c>
      <x:c r="B94" s="12" t="str">
        <x:v>INT</x:v>
      </x:c>
      <x:c r="C94" s="12" t="str">
        <x:v>WP07-WP08</x:v>
      </x:c>
      <x:c r="D94" s="12" t="str">
        <x:v>Direct client gate</x:v>
      </x:c>
      <x:c r="E94" s="12" t="str">
        <x:v>fixture using raw clients</x:v>
      </x:c>
      <x:c r="F94" s="12" t="str">
        <x:v>run source gate</x:v>
      </x:c>
      <x:c r="G94" s="12" t="str">
        <x:v>build fails with actionable exception path</x:v>
      </x:c>
      <x:c r="H94" s="12" t="str">
        <x:v>contract/fault/evidence</x:v>
      </x:c>
      <x:c r="I94" s="12" t="str">
        <x:v>Simulator/Fake; real provider deferred</x:v>
      </x:c>
    </x:row>
    <x:row r="95">
      <x:c r="A95" s="12" t="str">
        <x:v>CPF-QA-EXEC-295</x:v>
      </x:c>
      <x:c r="B95" s="12" t="str">
        <x:v>META</x:v>
      </x:c>
      <x:c r="C95" s="12" t="str">
        <x:v>WP09</x:v>
      </x:c>
      <x:c r="D95" s="12" t="str">
        <x:v>Metadata version CAS</x:v>
      </x:c>
      <x:c r="E95" s="12" t="str">
        <x:v>same item concurrent update</x:v>
      </x:c>
      <x:c r="F95" s="12" t="str">
        <x:v>two writers</x:v>
      </x:c>
      <x:c r="G95" s="12" t="str">
        <x:v>single winner, conflict response</x:v>
      </x:c>
      <x:c r="H95" s="12" t="str">
        <x:v>DB/API/runtime evidence</x:v>
      </x:c>
      <x:c r="I95" s="12" t="str">
        <x:v>WAS+MariaDB</x:v>
      </x:c>
    </x:row>
    <x:row r="96">
      <x:c r="A96" s="12" t="str">
        <x:v>CPF-QA-EXEC-296</x:v>
      </x:c>
      <x:c r="B96" s="12" t="str">
        <x:v>META</x:v>
      </x:c>
      <x:c r="C96" s="12" t="str">
        <x:v>WP09</x:v>
      </x:c>
      <x:c r="D96" s="12" t="str">
        <x:v>Effective date activation</x:v>
      </x:c>
      <x:c r="E96" s="12" t="str">
        <x:v>future policy</x:v>
      </x:c>
      <x:c r="F96" s="12" t="str">
        <x:v>time advance</x:v>
      </x:c>
      <x:c r="G96" s="12" t="str">
        <x:v>not early, activates once</x:v>
      </x:c>
      <x:c r="H96" s="12" t="str">
        <x:v>DB/API/runtime evidence</x:v>
      </x:c>
      <x:c r="I96" s="12" t="str">
        <x:v>WAS+MariaDB</x:v>
      </x:c>
    </x:row>
    <x:row r="97">
      <x:c r="A97" s="12" t="str">
        <x:v>CPF-QA-EXEC-297</x:v>
      </x:c>
      <x:c r="B97" s="12" t="str">
        <x:v>META</x:v>
      </x:c>
      <x:c r="C97" s="12" t="str">
        <x:v>WP09</x:v>
      </x:c>
      <x:c r="D97" s="12" t="str">
        <x:v>Environment override</x:v>
      </x:c>
      <x:c r="E97" s="12" t="str">
        <x:v>global + DEV + PROD</x:v>
      </x:c>
      <x:c r="F97" s="12" t="str">
        <x:v>resolve</x:v>
      </x:c>
      <x:c r="G97" s="12" t="str">
        <x:v>precedence correct</x:v>
      </x:c>
      <x:c r="H97" s="12" t="str">
        <x:v>DB/API/runtime evidence</x:v>
      </x:c>
      <x:c r="I97" s="12" t="str">
        <x:v>WAS+MariaDB</x:v>
      </x:c>
    </x:row>
    <x:row r="98">
      <x:c r="A98" s="12" t="str">
        <x:v>CPF-QA-EXEC-298</x:v>
      </x:c>
      <x:c r="B98" s="12" t="str">
        <x:v>META</x:v>
      </x:c>
      <x:c r="C98" s="12" t="str">
        <x:v>WP09</x:v>
      </x:c>
      <x:c r="D98" s="12" t="str">
        <x:v>Tenant override</x:v>
      </x:c>
      <x:c r="E98" s="12" t="str">
        <x:v>global + tenant</x:v>
      </x:c>
      <x:c r="F98" s="12" t="str">
        <x:v>resolve cross-tenant</x:v>
      </x:c>
      <x:c r="G98" s="12" t="str">
        <x:v>isolation and precedence</x:v>
      </x:c>
      <x:c r="H98" s="12" t="str">
        <x:v>DB/API/runtime evidence</x:v>
      </x:c>
      <x:c r="I98" s="12" t="str">
        <x:v>WAS+MariaDB</x:v>
      </x:c>
    </x:row>
    <x:row r="99">
      <x:c r="A99" s="12" t="str">
        <x:v>CPF-QA-EXEC-299</x:v>
      </x:c>
      <x:c r="B99" s="12" t="str">
        <x:v>META</x:v>
      </x:c>
      <x:c r="C99" s="12" t="str">
        <x:v>WP09</x:v>
      </x:c>
      <x:c r="D99" s="12" t="str">
        <x:v>Approval-required change</x:v>
      </x:c>
      <x:c r="E99" s="12" t="str">
        <x:v>danger policy</x:v>
      </x:c>
      <x:c r="F99" s="12" t="str">
        <x:v>unapproved/approved</x:v>
      </x:c>
      <x:c r="G99" s="12" t="str">
        <x:v>fail-closed then apply</x:v>
      </x:c>
      <x:c r="H99" s="12" t="str">
        <x:v>DB/API/runtime evidence</x:v>
      </x:c>
      <x:c r="I99" s="12" t="str">
        <x:v>WAS+MariaDB</x:v>
      </x:c>
    </x:row>
    <x:row r="100">
      <x:c r="A100" s="12" t="str">
        <x:v>CPF-QA-EXEC-300</x:v>
      </x:c>
      <x:c r="B100" s="12" t="str">
        <x:v>META</x:v>
      </x:c>
      <x:c r="C100" s="12" t="str">
        <x:v>WP09</x:v>
      </x:c>
      <x:c r="D100" s="12" t="str">
        <x:v>Rollback</x:v>
      </x:c>
      <x:c r="E100" s="12" t="str">
        <x:v>policy v1→v2</x:v>
      </x:c>
      <x:c r="F100" s="12" t="str">
        <x:v>rollback</x:v>
      </x:c>
      <x:c r="G100" s="12" t="str">
        <x:v>exact prior value/hash/version</x:v>
      </x:c>
      <x:c r="H100" s="12" t="str">
        <x:v>DB/API/runtime evidence</x:v>
      </x:c>
      <x:c r="I100" s="12" t="str">
        <x:v>WAS+MariaDB</x:v>
      </x:c>
    </x:row>
    <x:row r="101">
      <x:c r="A101" s="12" t="str">
        <x:v>CPF-QA-EXEC-301</x:v>
      </x:c>
      <x:c r="B101" s="12" t="str">
        <x:v>META</x:v>
      </x:c>
      <x:c r="C101" s="12" t="str">
        <x:v>WP09</x:v>
      </x:c>
      <x:c r="D101" s="12" t="str">
        <x:v>Multi-instance propagation</x:v>
      </x:c>
      <x:c r="E101" s="12" t="str">
        <x:v>2 instances</x:v>
      </x:c>
      <x:c r="F101" s="12" t="str">
        <x:v>change</x:v>
      </x:c>
      <x:c r="G101" s="12" t="str">
        <x:v>ACK/actual/drift converge</x:v>
      </x:c>
      <x:c r="H101" s="12" t="str">
        <x:v>DB/API/runtime evidence</x:v>
      </x:c>
      <x:c r="I101" s="12" t="str">
        <x:v>WAS+MariaDB</x:v>
      </x:c>
    </x:row>
    <x:row r="102">
      <x:c r="A102" s="12" t="str">
        <x:v>CPF-QA-EXEC-302</x:v>
      </x:c>
      <x:c r="B102" s="12" t="str">
        <x:v>META</x:v>
      </x:c>
      <x:c r="C102" s="12" t="str">
        <x:v>WP09</x:v>
      </x:c>
      <x:c r="D102" s="12" t="str">
        <x:v>Offline instance catch-up</x:v>
      </x:c>
      <x:c r="E102" s="12" t="str">
        <x:v>instance offline during changes</x:v>
      </x:c>
      <x:c r="F102" s="12" t="str">
        <x:v>reconnect</x:v>
      </x:c>
      <x:c r="G102" s="12" t="str">
        <x:v>latest canonical state apply</x:v>
      </x:c>
      <x:c r="H102" s="12" t="str">
        <x:v>DB/API/runtime evidence</x:v>
      </x:c>
      <x:c r="I102" s="12" t="str">
        <x:v>WAS+MariaDB</x:v>
      </x:c>
    </x:row>
    <x:row r="103">
      <x:c r="A103" s="12" t="str">
        <x:v>CPF-QA-EXEC-303</x:v>
      </x:c>
      <x:c r="B103" s="12" t="str">
        <x:v>META</x:v>
      </x:c>
      <x:c r="C103" s="12" t="str">
        <x:v>WP09</x:v>
      </x:c>
      <x:c r="D103" s="12" t="str">
        <x:v>Secret reference</x:v>
      </x:c>
      <x:c r="E103" s="12" t="str">
        <x:v>metadata contains secret</x:v>
      </x:c>
      <x:c r="F103" s="12" t="str">
        <x:v>read/export</x:v>
      </x:c>
      <x:c r="G103" s="12" t="str">
        <x:v>raw secret absent</x:v>
      </x:c>
      <x:c r="H103" s="12" t="str">
        <x:v>DB/API/runtime evidence</x:v>
      </x:c>
      <x:c r="I103" s="12" t="str">
        <x:v>WAS+MariaDB</x:v>
      </x:c>
    </x:row>
    <x:row r="104">
      <x:c r="A104" s="12" t="str">
        <x:v>CPF-QA-EXEC-304</x:v>
      </x:c>
      <x:c r="B104" s="12" t="str">
        <x:v>META</x:v>
      </x:c>
      <x:c r="C104" s="12" t="str">
        <x:v>WP09</x:v>
      </x:c>
      <x:c r="D104" s="12" t="str">
        <x:v>Generator metadata parity</x:v>
      </x:c>
      <x:c r="E104" s="12" t="str">
        <x:v>new domain generated</x:v>
      </x:c>
      <x:c r="F104" s="12" t="str">
        <x:v>compare</x:v>
      </x:c>
      <x:c r="G104" s="12" t="str">
        <x:v>same schema/contracts</x:v>
      </x:c>
      <x:c r="H104" s="12" t="str">
        <x:v>DB/API/runtime evidence</x:v>
      </x:c>
      <x:c r="I104" s="12" t="str">
        <x:v>WAS+MariaDB</x:v>
      </x:c>
    </x:row>
    <x:row r="105">
      <x:c r="A105" s="12" t="str">
        <x:v>CPF-QA-EXEC-305</x:v>
      </x:c>
      <x:c r="B105" s="12" t="str">
        <x:v>ALR</x:v>
      </x:c>
      <x:c r="C105" s="12" t="str">
        <x:v>WP10</x:v>
      </x:c>
      <x:c r="D105" s="12" t="str">
        <x:v>ERROR 메일 정책</x:v>
      </x:c>
      <x:c r="E105" s="12" t="str">
        <x:v>ERROR event + email group</x:v>
      </x:c>
      <x:c r="F105" s="12" t="str">
        <x:v>publish event</x:v>
      </x:c>
      <x:c r="G105" s="12" t="str">
        <x:v>outbox→embedded SMTP delivery and audit</x:v>
      </x:c>
      <x:c r="H105" s="12" t="str">
        <x:v>outbox/delivery/incident/audit evidence</x:v>
      </x:c>
      <x:c r="I105" s="12" t="str">
        <x:v>MariaDB+Embedded SMTP+SMS Simulator</x:v>
      </x:c>
    </x:row>
    <x:row r="106">
      <x:c r="A106" s="12" t="str">
        <x:v>CPF-QA-EXEC-306</x:v>
      </x:c>
      <x:c r="B106" s="12" t="str">
        <x:v>ALR</x:v>
      </x:c>
      <x:c r="C106" s="12" t="str">
        <x:v>WP10</x:v>
      </x:c>
      <x:c r="D106" s="12" t="str">
        <x:v>CRITICAL 메일+SMS</x:v>
      </x:c>
      <x:c r="E106" s="12" t="str">
        <x:v>CRITICAL event</x:v>
      </x:c>
      <x:c r="F106" s="12" t="str">
        <x:v>publish</x:v>
      </x:c>
      <x:c r="G106" s="12" t="str">
        <x:v>email embedded + SMS simulator, channel result separate</x:v>
      </x:c>
      <x:c r="H106" s="12" t="str">
        <x:v>outbox/delivery/incident/audit evidence</x:v>
      </x:c>
      <x:c r="I106" s="12" t="str">
        <x:v>MariaDB+Embedded SMTP+SMS Simulator</x:v>
      </x:c>
    </x:row>
    <x:row r="107">
      <x:c r="A107" s="12" t="str">
        <x:v>CPF-QA-EXEC-307</x:v>
      </x:c>
      <x:c r="B107" s="12" t="str">
        <x:v>ALR</x:v>
      </x:c>
      <x:c r="C107" s="12" t="str">
        <x:v>WP10</x:v>
      </x:c>
      <x:c r="D107" s="12" t="str">
        <x:v>WARN 기록 전용</x:v>
      </x:c>
      <x:c r="E107" s="12" t="str">
        <x:v>WARN rule no external channel</x:v>
      </x:c>
      <x:c r="F107" s="12" t="str">
        <x:v>publish</x:v>
      </x:c>
      <x:c r="G107" s="12" t="str">
        <x:v>ADM history only</x:v>
      </x:c>
      <x:c r="H107" s="12" t="str">
        <x:v>outbox/delivery/incident/audit evidence</x:v>
      </x:c>
      <x:c r="I107" s="12" t="str">
        <x:v>MariaDB+Embedded SMTP+SMS Simulator</x:v>
      </x:c>
    </x:row>
    <x:row r="108">
      <x:c r="A108" s="12" t="str">
        <x:v>CPF-QA-EXEC-308</x:v>
      </x:c>
      <x:c r="B108" s="12" t="str">
        <x:v>ALR</x:v>
      </x:c>
      <x:c r="C108" s="12" t="str">
        <x:v>WP10</x:v>
      </x:c>
      <x:c r="D108" s="12" t="str">
        <x:v>업무그룹별 정책</x:v>
      </x:c>
      <x:c r="E108" s="12" t="str">
        <x:v>same error different domain</x:v>
      </x:c>
      <x:c r="F108" s="12" t="str">
        <x:v>publish each</x:v>
      </x:c>
      <x:c r="G108" s="12" t="str">
        <x:v>matching receiver/policy differs</x:v>
      </x:c>
      <x:c r="H108" s="12" t="str">
        <x:v>outbox/delivery/incident/audit evidence</x:v>
      </x:c>
      <x:c r="I108" s="12" t="str">
        <x:v>MariaDB+Embedded SMTP+SMS Simulator</x:v>
      </x:c>
    </x:row>
    <x:row r="109">
      <x:c r="A109" s="12" t="str">
        <x:v>CPF-QA-EXEC-309</x:v>
      </x:c>
      <x:c r="B109" s="12" t="str">
        <x:v>ALR</x:v>
      </x:c>
      <x:c r="C109" s="12" t="str">
        <x:v>WP10</x:v>
      </x:c>
      <x:c r="D109" s="12" t="str">
        <x:v>오류그룹별 정책</x:v>
      </x:c>
      <x:c r="E109" s="12" t="str">
        <x:v>two error codes in group</x:v>
      </x:c>
      <x:c r="F109" s="12" t="str">
        <x:v>publish</x:v>
      </x:c>
      <x:c r="G109" s="12" t="str">
        <x:v>same aggregation/escalation</x:v>
      </x:c>
      <x:c r="H109" s="12" t="str">
        <x:v>outbox/delivery/incident/audit evidence</x:v>
      </x:c>
      <x:c r="I109" s="12" t="str">
        <x:v>MariaDB+Embedded SMTP+SMS Simulator</x:v>
      </x:c>
    </x:row>
    <x:row r="110">
      <x:c r="A110" s="12" t="str">
        <x:v>CPF-QA-EXEC-310</x:v>
      </x:c>
      <x:c r="B110" s="12" t="str">
        <x:v>ALR</x:v>
      </x:c>
      <x:c r="C110" s="12" t="str">
        <x:v>WP10</x:v>
      </x:c>
      <x:c r="D110" s="12" t="str">
        <x:v>반복 횟수 Threshold</x:v>
      </x:c>
      <x:c r="E110" s="12" t="str">
        <x:v>same error below/above N</x:v>
      </x:c>
      <x:c r="F110" s="12" t="str">
        <x:v>publish</x:v>
      </x:c>
      <x:c r="G110" s="12" t="str">
        <x:v>only threshold crossing alerts</x:v>
      </x:c>
      <x:c r="H110" s="12" t="str">
        <x:v>outbox/delivery/incident/audit evidence</x:v>
      </x:c>
      <x:c r="I110" s="12" t="str">
        <x:v>MariaDB+Embedded SMTP+SMS Simulator</x:v>
      </x:c>
    </x:row>
    <x:row r="111">
      <x:c r="A111" s="12" t="str">
        <x:v>CPF-QA-EXEC-311</x:v>
      </x:c>
      <x:c r="B111" s="12" t="str">
        <x:v>ALR</x:v>
      </x:c>
      <x:c r="C111" s="12" t="str">
        <x:v>WP10</x:v>
      </x:c>
      <x:c r="D111" s="12" t="str">
        <x:v>지속시간 Threshold</x:v>
      </x:c>
      <x:c r="E111" s="12" t="str">
        <x:v>condition persists</x:v>
      </x:c>
      <x:c r="F111" s="12" t="str">
        <x:v>time advance</x:v>
      </x:c>
      <x:c r="G111" s="12" t="str">
        <x:v>single alert at threshold</x:v>
      </x:c>
      <x:c r="H111" s="12" t="str">
        <x:v>outbox/delivery/incident/audit evidence</x:v>
      </x:c>
      <x:c r="I111" s="12" t="str">
        <x:v>MariaDB+Embedded SMTP+SMS Simulator</x:v>
      </x:c>
    </x:row>
    <x:row r="112">
      <x:c r="A112" s="12" t="str">
        <x:v>CPF-QA-EXEC-312</x:v>
      </x:c>
      <x:c r="B112" s="12" t="str">
        <x:v>ALR</x:v>
      </x:c>
      <x:c r="C112" s="12" t="str">
        <x:v>WP10</x:v>
      </x:c>
      <x:c r="D112" s="12" t="str">
        <x:v>실패율 Threshold</x:v>
      </x:c>
      <x:c r="E112" s="12" t="str">
        <x:v>mixed success/fail</x:v>
      </x:c>
      <x:c r="F112" s="12" t="str">
        <x:v>window aggregate</x:v>
      </x:c>
      <x:c r="G112" s="12" t="str">
        <x:v>rate-based alert</x:v>
      </x:c>
      <x:c r="H112" s="12" t="str">
        <x:v>outbox/delivery/incident/audit evidence</x:v>
      </x:c>
      <x:c r="I112" s="12" t="str">
        <x:v>MariaDB+Embedded SMTP+SMS Simulator</x:v>
      </x:c>
    </x:row>
    <x:row r="113">
      <x:c r="A113" s="12" t="str">
        <x:v>CPF-QA-EXEC-313</x:v>
      </x:c>
      <x:c r="B113" s="12" t="str">
        <x:v>ALR</x:v>
      </x:c>
      <x:c r="C113" s="12" t="str">
        <x:v>WP10</x:v>
      </x:c>
      <x:c r="D113" s="12" t="str">
        <x:v>Cooldown 중복 억제</x:v>
      </x:c>
      <x:c r="E113" s="12" t="str">
        <x:v>same fingerprint burst</x:v>
      </x:c>
      <x:c r="F113" s="12" t="str">
        <x:v>publish 100</x:v>
      </x:c>
      <x:c r="G113" s="12" t="str">
        <x:v>bounded one/summary alerts</x:v>
      </x:c>
      <x:c r="H113" s="12" t="str">
        <x:v>outbox/delivery/incident/audit evidence</x:v>
      </x:c>
      <x:c r="I113" s="12" t="str">
        <x:v>MariaDB+Embedded SMTP+SMS Simulator</x:v>
      </x:c>
    </x:row>
    <x:row r="114">
      <x:c r="A114" s="12" t="str">
        <x:v>CPF-QA-EXEC-314</x:v>
      </x:c>
      <x:c r="B114" s="12" t="str">
        <x:v>ALR</x:v>
      </x:c>
      <x:c r="C114" s="12" t="str">
        <x:v>WP10</x:v>
      </x:c>
      <x:c r="D114" s="12" t="str">
        <x:v>집계 알림</x:v>
      </x:c>
      <x:c r="E114" s="12" t="str">
        <x:v>many similar errors</x:v>
      </x:c>
      <x:c r="F114" s="12" t="str">
        <x:v>window close</x:v>
      </x:c>
      <x:c r="G114" s="12" t="str">
        <x:v>count/top samples masked</x:v>
      </x:c>
      <x:c r="H114" s="12" t="str">
        <x:v>outbox/delivery/incident/audit evidence</x:v>
      </x:c>
      <x:c r="I114" s="12" t="str">
        <x:v>MariaDB+Embedded SMTP+SMS Simulator</x:v>
      </x:c>
    </x:row>
    <x:row r="115">
      <x:c r="A115" s="12" t="str">
        <x:v>CPF-QA-EXEC-315</x:v>
      </x:c>
      <x:c r="B115" s="12" t="str">
        <x:v>ALR</x:v>
      </x:c>
      <x:c r="C115" s="12" t="str">
        <x:v>WP10</x:v>
      </x:c>
      <x:c r="D115" s="12" t="str">
        <x:v>야간 당직 Routing</x:v>
      </x:c>
      <x:c r="E115" s="12" t="str">
        <x:v>night clock</x:v>
      </x:c>
      <x:c r="F115" s="12" t="str">
        <x:v>publish</x:v>
      </x:c>
      <x:c r="G115" s="12" t="str">
        <x:v>on-call group selected</x:v>
      </x:c>
      <x:c r="H115" s="12" t="str">
        <x:v>outbox/delivery/incident/audit evidence</x:v>
      </x:c>
      <x:c r="I115" s="12" t="str">
        <x:v>MariaDB+Embedded SMTP+SMS Simulator</x:v>
      </x:c>
    </x:row>
    <x:row r="116">
      <x:c r="A116" s="12" t="str">
        <x:v>CPF-QA-EXEC-316</x:v>
      </x:c>
      <x:c r="B116" s="12" t="str">
        <x:v>ALR</x:v>
      </x:c>
      <x:c r="C116" s="12" t="str">
        <x:v>WP10</x:v>
      </x:c>
      <x:c r="D116" s="12" t="str">
        <x:v>휴일 Routing</x:v>
      </x:c>
      <x:c r="E116" s="12" t="str">
        <x:v>business calendar holiday</x:v>
      </x:c>
      <x:c r="F116" s="12" t="str">
        <x:v>publish</x:v>
      </x:c>
      <x:c r="G116" s="12" t="str">
        <x:v>holiday policy selected</x:v>
      </x:c>
      <x:c r="H116" s="12" t="str">
        <x:v>outbox/delivery/incident/audit evidence</x:v>
      </x:c>
      <x:c r="I116" s="12" t="str">
        <x:v>MariaDB+Embedded SMTP+SMS Simulator</x:v>
      </x:c>
    </x:row>
    <x:row r="117">
      <x:c r="A117" s="12" t="str">
        <x:v>CPF-QA-EXEC-317</x:v>
      </x:c>
      <x:c r="B117" s="12" t="str">
        <x:v>ALR</x:v>
      </x:c>
      <x:c r="C117" s="12" t="str">
        <x:v>WP10</x:v>
      </x:c>
      <x:c r="D117" s="12" t="str">
        <x:v>Maintenance suppression</x:v>
      </x:c>
      <x:c r="E117" s="12" t="str">
        <x:v>active maintenance</x:v>
      </x:c>
      <x:c r="F117" s="12" t="str">
        <x:v>publish</x:v>
      </x:c>
      <x:c r="G117" s="12" t="str">
        <x:v>suppressed with audit, expiry auto restore</x:v>
      </x:c>
      <x:c r="H117" s="12" t="str">
        <x:v>outbox/delivery/incident/audit evidence</x:v>
      </x:c>
      <x:c r="I117" s="12" t="str">
        <x:v>MariaDB+Embedded SMTP+SMS Simulator</x:v>
      </x:c>
    </x:row>
    <x:row r="118">
      <x:c r="A118" s="12" t="str">
        <x:v>CPF-QA-EXEC-318</x:v>
      </x:c>
      <x:c r="B118" s="12" t="str">
        <x:v>ALR</x:v>
      </x:c>
      <x:c r="C118" s="12" t="str">
        <x:v>WP10</x:v>
      </x:c>
      <x:c r="D118" s="12" t="str">
        <x:v>Escalation 미확인</x:v>
      </x:c>
      <x:c r="E118" s="12" t="str">
        <x:v>critical unacked</x:v>
      </x:c>
      <x:c r="F118" s="12" t="str">
        <x:v>time advance</x:v>
      </x:c>
      <x:c r="G118" s="12" t="str">
        <x:v>next-level recipients</x:v>
      </x:c>
      <x:c r="H118" s="12" t="str">
        <x:v>outbox/delivery/incident/audit evidence</x:v>
      </x:c>
      <x:c r="I118" s="12" t="str">
        <x:v>MariaDB+Embedded SMTP+SMS Simulator</x:v>
      </x:c>
    </x:row>
    <x:row r="119">
      <x:c r="A119" s="12" t="str">
        <x:v>CPF-QA-EXEC-319</x:v>
      </x:c>
      <x:c r="B119" s="12" t="str">
        <x:v>ALR</x:v>
      </x:c>
      <x:c r="C119" s="12" t="str">
        <x:v>WP10</x:v>
      </x:c>
      <x:c r="D119" s="12" t="str">
        <x:v>Incident lifecycle</x:v>
      </x:c>
      <x:c r="E119" s="12" t="str">
        <x:v>critical event</x:v>
      </x:c>
      <x:c r="F119" s="12" t="str">
        <x:v>ack→assign→resolve→reopen</x:v>
      </x:c>
      <x:c r="G119" s="12" t="str">
        <x:v>state/audit correct</x:v>
      </x:c>
      <x:c r="H119" s="12" t="str">
        <x:v>outbox/delivery/incident/audit evidence</x:v>
      </x:c>
      <x:c r="I119" s="12" t="str">
        <x:v>MariaDB+Embedded SMTP+SMS Simulator</x:v>
      </x:c>
    </x:row>
    <x:row r="120">
      <x:c r="A120" s="12" t="str">
        <x:v>CPF-QA-EXEC-320</x:v>
      </x:c>
      <x:c r="B120" s="12" t="str">
        <x:v>ALR</x:v>
      </x:c>
      <x:c r="C120" s="12" t="str">
        <x:v>WP10</x:v>
      </x:c>
      <x:c r="D120" s="12" t="str">
        <x:v>Provider timeout</x:v>
      </x:c>
      <x:c r="E120" s="12" t="str">
        <x:v>email provider slow</x:v>
      </x:c>
      <x:c r="F120" s="12" t="str">
        <x:v>send</x:v>
      </x:c>
      <x:c r="G120" s="12" t="str">
        <x:v>bounded retry, worker capacity protected</x:v>
      </x:c>
      <x:c r="H120" s="12" t="str">
        <x:v>outbox/delivery/incident/audit evidence</x:v>
      </x:c>
      <x:c r="I120" s="12" t="str">
        <x:v>MariaDB+Embedded SMTP+SMS Simulator</x:v>
      </x:c>
    </x:row>
    <x:row r="121">
      <x:c r="A121" s="12" t="str">
        <x:v>CPF-QA-EXEC-321</x:v>
      </x:c>
      <x:c r="B121" s="12" t="str">
        <x:v>ALR</x:v>
      </x:c>
      <x:c r="C121" s="12" t="str">
        <x:v>WP10</x:v>
      </x:c>
      <x:c r="D121" s="12" t="str">
        <x:v>Provider permanent failure</x:v>
      </x:c>
      <x:c r="E121" s="12" t="str">
        <x:v>invalid recipient</x:v>
      </x:c>
      <x:c r="F121" s="12" t="str">
        <x:v>retry exhausted</x:v>
      </x:c>
      <x:c r="G121" s="12" t="str">
        <x:v>DLQ/manual reprocess</x:v>
      </x:c>
      <x:c r="H121" s="12" t="str">
        <x:v>outbox/delivery/incident/audit evidence</x:v>
      </x:c>
      <x:c r="I121" s="12" t="str">
        <x:v>MariaDB+Embedded SMTP+SMS Simulator</x:v>
      </x:c>
    </x:row>
    <x:row r="122">
      <x:c r="A122" s="12" t="str">
        <x:v>CPF-QA-EXEC-322</x:v>
      </x:c>
      <x:c r="B122" s="12" t="str">
        <x:v>ALR</x:v>
      </x:c>
      <x:c r="C122" s="12" t="str">
        <x:v>WP10</x:v>
      </x:c>
      <x:c r="D122" s="12" t="str">
        <x:v>Notification DB outage</x:v>
      </x:c>
      <x:c r="E122" s="12" t="str">
        <x:v>event during DB outage</x:v>
      </x:c>
      <x:c r="F122" s="12" t="str">
        <x:v>publish</x:v>
      </x:c>
      <x:c r="G122" s="12" t="str">
        <x:v>original business unaffected per contract, alert failure observable</x:v>
      </x:c>
      <x:c r="H122" s="12" t="str">
        <x:v>outbox/delivery/incident/audit evidence</x:v>
      </x:c>
      <x:c r="I122" s="12" t="str">
        <x:v>MariaDB+Embedded SMTP+SMS Simulator</x:v>
      </x:c>
    </x:row>
    <x:row r="123">
      <x:c r="A123" s="12" t="str">
        <x:v>CPF-QA-EXEC-323</x:v>
      </x:c>
      <x:c r="B123" s="12" t="str">
        <x:v>ALR</x:v>
      </x:c>
      <x:c r="C123" s="12" t="str">
        <x:v>WP10</x:v>
      </x:c>
      <x:c r="D123" s="12" t="str">
        <x:v>Original transaction rollback</x:v>
      </x:c>
      <x:c r="E123" s="12" t="str">
        <x:v>business rollback</x:v>
      </x:c>
      <x:c r="F123" s="12" t="str">
        <x:v>alert hook</x:v>
      </x:c>
      <x:c r="G123" s="12" t="str">
        <x:v>no false success alert unless failure event policy</x:v>
      </x:c>
      <x:c r="H123" s="12" t="str">
        <x:v>outbox/delivery/incident/audit evidence</x:v>
      </x:c>
      <x:c r="I123" s="12" t="str">
        <x:v>MariaDB+Embedded SMTP+SMS Simulator</x:v>
      </x:c>
    </x:row>
    <x:row r="124">
      <x:c r="A124" s="12" t="str">
        <x:v>CPF-QA-EXEC-324</x:v>
      </x:c>
      <x:c r="B124" s="12" t="str">
        <x:v>ALR</x:v>
      </x:c>
      <x:c r="C124" s="12" t="str">
        <x:v>WP10</x:v>
      </x:c>
      <x:c r="D124" s="12" t="str">
        <x:v>Embedded SMTP MIME</x:v>
      </x:c>
      <x:c r="E124" s="12" t="str">
        <x:v>HTML+text+attachment fixture</x:v>
      </x:c>
      <x:c r="F124" s="12" t="str">
        <x:v>send</x:v>
      </x:c>
      <x:c r="G124" s="12" t="str">
        <x:v>subject/recipient/body/encoding correct</x:v>
      </x:c>
      <x:c r="H124" s="12" t="str">
        <x:v>outbox/delivery/incident/audit evidence</x:v>
      </x:c>
      <x:c r="I124" s="12" t="str">
        <x:v>MariaDB+Embedded SMTP+SMS Simulator</x:v>
      </x:c>
    </x:row>
    <x:row r="125">
      <x:c r="A125" s="12" t="str">
        <x:v>CPF-QA-EXEC-325</x:v>
      </x:c>
      <x:c r="B125" s="12" t="str">
        <x:v>ALR</x:v>
      </x:c>
      <x:c r="C125" s="12" t="str">
        <x:v>WP10</x:v>
      </x:c>
      <x:c r="D125" s="12" t="str">
        <x:v>Local Capture mode</x:v>
      </x:c>
      <x:c r="E125" s="12" t="str">
        <x:v>no SMTP</x:v>
      </x:c>
      <x:c r="F125" s="12" t="str">
        <x:v>send</x:v>
      </x:c>
      <x:c r="G125" s="12" t="str">
        <x:v>captured in ADM/DB, external send 0</x:v>
      </x:c>
      <x:c r="H125" s="12" t="str">
        <x:v>outbox/delivery/incident/audit evidence</x:v>
      </x:c>
      <x:c r="I125" s="12" t="str">
        <x:v>MariaDB+Embedded SMTP+SMS Simulator</x:v>
      </x:c>
    </x:row>
    <x:row r="126">
      <x:c r="A126" s="12" t="str">
        <x:v>CPF-QA-EXEC-326</x:v>
      </x:c>
      <x:c r="B126" s="12" t="str">
        <x:v>ALR</x:v>
      </x:c>
      <x:c r="C126" s="12" t="str">
        <x:v>WP10</x:v>
      </x:c>
      <x:c r="D126" s="12" t="str">
        <x:v>Receiver PII masking</x:v>
      </x:c>
      <x:c r="E126" s="12" t="str">
        <x:v>delivery logs</x:v>
      </x:c>
      <x:c r="F126" s="12" t="str">
        <x:v>view/export</x:v>
      </x:c>
      <x:c r="G126" s="12" t="str">
        <x:v>masked receiver by default</x:v>
      </x:c>
      <x:c r="H126" s="12" t="str">
        <x:v>outbox/delivery/incident/audit evidence</x:v>
      </x:c>
      <x:c r="I126" s="12" t="str">
        <x:v>MariaDB+Embedded SMTP+SMS Simulator</x:v>
      </x:c>
    </x:row>
    <x:row r="127">
      <x:c r="A127" s="12" t="str">
        <x:v>CPF-QA-EXEC-327</x:v>
      </x:c>
      <x:c r="B127" s="12" t="str">
        <x:v>ALR</x:v>
      </x:c>
      <x:c r="C127" s="12" t="str">
        <x:v>WP10</x:v>
      </x:c>
      <x:c r="D127" s="12" t="str">
        <x:v>Template injection</x:v>
      </x:c>
      <x:c r="E127" s="12" t="str">
        <x:v>malicious template data</x:v>
      </x:c>
      <x:c r="F127" s="12" t="str">
        <x:v>render</x:v>
      </x:c>
      <x:c r="G127" s="12" t="str">
        <x:v>escaping and safe limits</x:v>
      </x:c>
      <x:c r="H127" s="12" t="str">
        <x:v>outbox/delivery/incident/audit evidence</x:v>
      </x:c>
      <x:c r="I127" s="12" t="str">
        <x:v>MariaDB+Embedded SMTP+SMS Simulator</x:v>
      </x:c>
    </x:row>
    <x:row r="128">
      <x:c r="A128" s="12" t="str">
        <x:v>CPF-QA-EXEC-328</x:v>
      </x:c>
      <x:c r="B128" s="12" t="str">
        <x:v>ALR</x:v>
      </x:c>
      <x:c r="C128" s="12" t="str">
        <x:v>WP10</x:v>
      </x:c>
      <x:c r="D128" s="12" t="str">
        <x:v>Storm protection</x:v>
      </x:c>
      <x:c r="E128" s="12" t="str">
        <x:v>100k events</x:v>
      </x:c>
      <x:c r="F128" s="12" t="str">
        <x:v>publish</x:v>
      </x:c>
      <x:c r="G128" s="12" t="str">
        <x:v>rate limit/backpressure/no OOM</x:v>
      </x:c>
      <x:c r="H128" s="12" t="str">
        <x:v>outbox/delivery/incident/audit evidence</x:v>
      </x:c>
      <x:c r="I128" s="12" t="str">
        <x:v>MariaDB+Embedded SMTP+SMS Simulator</x:v>
      </x:c>
    </x:row>
    <x:row r="129">
      <x:c r="A129" s="12" t="str">
        <x:v>CPF-QA-EXEC-329</x:v>
      </x:c>
      <x:c r="B129" s="12" t="str">
        <x:v>ALR</x:v>
      </x:c>
      <x:c r="C129" s="12" t="str">
        <x:v>WP10</x:v>
      </x:c>
      <x:c r="D129" s="12" t="str">
        <x:v>Policy rollback</x:v>
      </x:c>
      <x:c r="E129" s="12" t="str">
        <x:v>bad rule deployed</x:v>
      </x:c>
      <x:c r="F129" s="12" t="str">
        <x:v>rollback</x:v>
      </x:c>
      <x:c r="G129" s="12" t="str">
        <x:v>previous matching restored</x:v>
      </x:c>
      <x:c r="H129" s="12" t="str">
        <x:v>outbox/delivery/incident/audit evidence</x:v>
      </x:c>
      <x:c r="I129" s="12" t="str">
        <x:v>MariaDB+Embedded SMTP+SMS Simulator</x:v>
      </x:c>
    </x:row>
    <x:row r="130">
      <x:c r="A130" s="12" t="str">
        <x:v>CPF-QA-EXEC-330</x:v>
      </x:c>
      <x:c r="B130" s="12" t="str">
        <x:v>INSLOG</x:v>
      </x:c>
      <x:c r="C130" s="12" t="str">
        <x:v>WP11</x:v>
      </x:c>
      <x:c r="D130" s="12" t="str">
        <x:v>Domain group hierarchy</x:v>
      </x:c>
      <x:c r="E130" s="12" t="str">
        <x:v>ENV→CLUSTER→DOMAIN→APP→INSTANCE</x:v>
      </x:c>
      <x:c r="F130" s="12" t="str">
        <x:v>create/search</x:v>
      </x:c>
      <x:c r="G130" s="12" t="str">
        <x:v>hierarchy and permission correct</x:v>
      </x:c>
      <x:c r="H130" s="12" t="str">
        <x:v>ADM/Agent/file/audit evidence</x:v>
      </x:c>
      <x:c r="I130" s="12" t="str">
        <x:v>WAS+MariaDB+local files</x:v>
      </x:c>
    </x:row>
    <x:row r="131">
      <x:c r="A131" s="12" t="str">
        <x:v>CPF-QA-EXEC-331</x:v>
      </x:c>
      <x:c r="B131" s="12" t="str">
        <x:v>INSLOG</x:v>
      </x:c>
      <x:c r="C131" s="12" t="str">
        <x:v>WP11</x:v>
      </x:c>
      <x:c r="D131" s="12" t="str">
        <x:v>Multi-membership policy</x:v>
      </x:c>
      <x:c r="E131" s="12" t="str">
        <x:v>instance added to groups</x:v>
      </x:c>
      <x:c r="F131" s="12" t="str">
        <x:v>target preview</x:v>
      </x:c>
      <x:c r="G131" s="12" t="str">
        <x:v>defined include/exclude precedence</x:v>
      </x:c>
      <x:c r="H131" s="12" t="str">
        <x:v>ADM/Agent/file/audit evidence</x:v>
      </x:c>
      <x:c r="I131" s="12" t="str">
        <x:v>WAS+MariaDB+local files</x:v>
      </x:c>
    </x:row>
    <x:row r="132">
      <x:c r="A132" s="12" t="str">
        <x:v>CPF-QA-EXEC-332</x:v>
      </x:c>
      <x:c r="B132" s="12" t="str">
        <x:v>INSLOG</x:v>
      </x:c>
      <x:c r="C132" s="12" t="str">
        <x:v>WP11</x:v>
      </x:c>
      <x:c r="D132" s="12" t="str">
        <x:v>Nested cycle</x:v>
      </x:c>
      <x:c r="E132" s="12" t="str">
        <x:v>A→B→A</x:v>
      </x:c>
      <x:c r="F132" s="12" t="str">
        <x:v>save</x:v>
      </x:c>
      <x:c r="G132" s="12" t="str">
        <x:v>rejected before persistence</x:v>
      </x:c>
      <x:c r="H132" s="12" t="str">
        <x:v>ADM/Agent/file/audit evidence</x:v>
      </x:c>
      <x:c r="I132" s="12" t="str">
        <x:v>WAS+MariaDB+local files</x:v>
      </x:c>
    </x:row>
    <x:row r="133">
      <x:c r="A133" s="12" t="str">
        <x:v>CPF-QA-EXEC-333</x:v>
      </x:c>
      <x:c r="B133" s="12" t="str">
        <x:v>INSLOG</x:v>
      </x:c>
      <x:c r="C133" s="12" t="str">
        <x:v>WP11</x:v>
      </x:c>
      <x:c r="D133" s="12" t="str">
        <x:v>Heartbeat expiry</x:v>
      </x:c>
      <x:c r="E133" s="12" t="str">
        <x:v>instance kill</x:v>
      </x:c>
      <x:c r="F133" s="12" t="str">
        <x:v>wait lease</x:v>
      </x:c>
      <x:c r="G133" s="12" t="str">
        <x:v>offline/alert/routing exclusion</x:v>
      </x:c>
      <x:c r="H133" s="12" t="str">
        <x:v>ADM/Agent/file/audit evidence</x:v>
      </x:c>
      <x:c r="I133" s="12" t="str">
        <x:v>WAS+MariaDB+local files</x:v>
      </x:c>
    </x:row>
    <x:row r="134">
      <x:c r="A134" s="12" t="str">
        <x:v>CPF-QA-EXEC-334</x:v>
      </x:c>
      <x:c r="B134" s="12" t="str">
        <x:v>INSLOG</x:v>
      </x:c>
      <x:c r="C134" s="12" t="str">
        <x:v>WP11</x:v>
      </x:c>
      <x:c r="D134" s="12" t="str">
        <x:v>Duplicate instance identity</x:v>
      </x:c>
      <x:c r="E134" s="12" t="str">
        <x:v>two runtimes same ID</x:v>
      </x:c>
      <x:c r="F134" s="12" t="str">
        <x:v>register</x:v>
      </x:c>
      <x:c r="G134" s="12" t="str">
        <x:v>fencing/identity conflict</x:v>
      </x:c>
      <x:c r="H134" s="12" t="str">
        <x:v>ADM/Agent/file/audit evidence</x:v>
      </x:c>
      <x:c r="I134" s="12" t="str">
        <x:v>WAS+MariaDB+local files</x:v>
      </x:c>
    </x:row>
    <x:row r="135">
      <x:c r="A135" s="12" t="str">
        <x:v>CPF-QA-EXEC-335</x:v>
      </x:c>
      <x:c r="B135" s="12" t="str">
        <x:v>INSLOG</x:v>
      </x:c>
      <x:c r="C135" s="12" t="str">
        <x:v>WP11</x:v>
      </x:c>
      <x:c r="D135" s="12" t="str">
        <x:v>Rolling version mix</x:v>
      </x:c>
      <x:c r="E135" s="12" t="str">
        <x:v>group with v1/v2</x:v>
      </x:c>
      <x:c r="F135" s="12" t="str">
        <x:v>view</x:v>
      </x:c>
      <x:c r="G135" s="12" t="str">
        <x:v>mixed version warning and rollout controls</x:v>
      </x:c>
      <x:c r="H135" s="12" t="str">
        <x:v>ADM/Agent/file/audit evidence</x:v>
      </x:c>
      <x:c r="I135" s="12" t="str">
        <x:v>WAS+MariaDB+local files</x:v>
      </x:c>
    </x:row>
    <x:row r="136">
      <x:c r="A136" s="12" t="str">
        <x:v>CPF-QA-EXEC-336</x:v>
      </x:c>
      <x:c r="B136" s="12" t="str">
        <x:v>INSLOG</x:v>
      </x:c>
      <x:c r="C136" s="12" t="str">
        <x:v>WP11</x:v>
      </x:c>
      <x:c r="D136" s="12" t="str">
        <x:v>Group drain</x:v>
      </x:c>
      <x:c r="E136" s="12" t="str">
        <x:v>active traffic</x:v>
      </x:c>
      <x:c r="F136" s="12" t="str">
        <x:v>drain group</x:v>
      </x:c>
      <x:c r="G136" s="12" t="str">
        <x:v>new assignments stop, inflight policy</x:v>
      </x:c>
      <x:c r="H136" s="12" t="str">
        <x:v>ADM/Agent/file/audit evidence</x:v>
      </x:c>
      <x:c r="I136" s="12" t="str">
        <x:v>WAS+MariaDB+local files</x:v>
      </x:c>
    </x:row>
    <x:row r="137">
      <x:c r="A137" s="12" t="str">
        <x:v>CPF-QA-EXEC-337</x:v>
      </x:c>
      <x:c r="B137" s="12" t="str">
        <x:v>INSLOG</x:v>
      </x:c>
      <x:c r="C137" s="12" t="str">
        <x:v>WP11</x:v>
      </x:c>
      <x:c r="D137" s="12" t="str">
        <x:v>Tenant isolation</x:v>
      </x:c>
      <x:c r="E137" s="12" t="str">
        <x:v>operator from other tenant</x:v>
      </x:c>
      <x:c r="F137" s="12" t="str">
        <x:v>query/control</x:v>
      </x:c>
      <x:c r="G137" s="12" t="str">
        <x:v>403 and no metadata leak</x:v>
      </x:c>
      <x:c r="H137" s="12" t="str">
        <x:v>ADM/Agent/file/audit evidence</x:v>
      </x:c>
      <x:c r="I137" s="12" t="str">
        <x:v>WAS+MariaDB+local files</x:v>
      </x:c>
    </x:row>
    <x:row r="138">
      <x:c r="A138" s="12" t="str">
        <x:v>CPF-QA-EXEC-338</x:v>
      </x:c>
      <x:c r="B138" s="12" t="str">
        <x:v>INSLOG</x:v>
      </x:c>
      <x:c r="C138" s="12" t="str">
        <x:v>WP11</x:v>
      </x:c>
      <x:c r="D138" s="12" t="str">
        <x:v>Log file list</x:v>
      </x:c>
      <x:c r="E138" s="12" t="str">
        <x:v>agent with current/rotated logs</x:v>
      </x:c>
      <x:c r="F138" s="12" t="str">
        <x:v>ADM list</x:v>
      </x:c>
      <x:c r="G138" s="12" t="str">
        <x:v>metadata accurate, only allowlisted files</x:v>
      </x:c>
      <x:c r="H138" s="12" t="str">
        <x:v>ADM/Agent/file/audit evidence</x:v>
      </x:c>
      <x:c r="I138" s="12" t="str">
        <x:v>WAS+MariaDB+local files</x:v>
      </x:c>
    </x:row>
    <x:row r="139">
      <x:c r="A139" s="12" t="str">
        <x:v>CPF-QA-EXEC-339</x:v>
      </x:c>
      <x:c r="B139" s="12" t="str">
        <x:v>INSLOG</x:v>
      </x:c>
      <x:c r="C139" s="12" t="str">
        <x:v>WP11</x:v>
      </x:c>
      <x:c r="D139" s="12" t="str">
        <x:v>Single log download</x:v>
      </x:c>
      <x:c r="E139" s="12" t="str">
        <x:v>selected file</x:v>
      </x:c>
      <x:c r="F139" s="12" t="str">
        <x:v>download</x:v>
      </x:c>
      <x:c r="G139" s="12" t="str">
        <x:v>content/hash/name correct</x:v>
      </x:c>
      <x:c r="H139" s="12" t="str">
        <x:v>ADM/Agent/file/audit evidence</x:v>
      </x:c>
      <x:c r="I139" s="12" t="str">
        <x:v>WAS+MariaDB+local files</x:v>
      </x:c>
    </x:row>
    <x:row r="140">
      <x:c r="A140" s="12" t="str">
        <x:v>CPF-QA-EXEC-340</x:v>
      </x:c>
      <x:c r="B140" s="12" t="str">
        <x:v>INSLOG</x:v>
      </x:c>
      <x:c r="C140" s="12" t="str">
        <x:v>WP11</x:v>
      </x:c>
      <x:c r="D140" s="12" t="str">
        <x:v>Multi-log ZIP</x:v>
      </x:c>
      <x:c r="E140" s="12" t="str">
        <x:v>selected files</x:v>
      </x:c>
      <x:c r="F140" s="12" t="str">
        <x:v>download</x:v>
      </x:c>
      <x:c r="G140" s="12" t="str">
        <x:v>manifest and cleanup</x:v>
      </x:c>
      <x:c r="H140" s="12" t="str">
        <x:v>ADM/Agent/file/audit evidence</x:v>
      </x:c>
      <x:c r="I140" s="12" t="str">
        <x:v>WAS+MariaDB+local files</x:v>
      </x:c>
    </x:row>
    <x:row r="141">
      <x:c r="A141" s="12" t="str">
        <x:v>CPF-QA-EXEC-341</x:v>
      </x:c>
      <x:c r="B141" s="12" t="str">
        <x:v>INSLOG</x:v>
      </x:c>
      <x:c r="C141" s="12" t="str">
        <x:v>WP11</x:v>
      </x:c>
      <x:c r="D141" s="12" t="str">
        <x:v>Multi-instance time bundle</x:v>
      </x:c>
      <x:c r="E141" s="12" t="str">
        <x:v>3 instances</x:v>
      </x:c>
      <x:c r="F141" s="12" t="str">
        <x:v>download range</x:v>
      </x:c>
      <x:c r="G141" s="12" t="str">
        <x:v>partial failures listed</x:v>
      </x:c>
      <x:c r="H141" s="12" t="str">
        <x:v>ADM/Agent/file/audit evidence</x:v>
      </x:c>
      <x:c r="I141" s="12" t="str">
        <x:v>WAS+MariaDB+local files</x:v>
      </x:c>
    </x:row>
    <x:row r="142">
      <x:c r="A142" s="12" t="str">
        <x:v>CPF-QA-EXEC-342</x:v>
      </x:c>
      <x:c r="B142" s="12" t="str">
        <x:v>INSLOG</x:v>
      </x:c>
      <x:c r="C142" s="12" t="str">
        <x:v>WP11</x:v>
      </x:c>
      <x:c r="D142" s="12" t="str">
        <x:v>Trace bundle</x:v>
      </x:c>
      <x:c r="E142" s="12" t="str">
        <x:v>trace spans instances</x:v>
      </x:c>
      <x:c r="F142" s="12" t="str">
        <x:v>collect</x:v>
      </x:c>
      <x:c r="G142" s="12" t="str">
        <x:v>related logs only and correlation</x:v>
      </x:c>
      <x:c r="H142" s="12" t="str">
        <x:v>ADM/Agent/file/audit evidence</x:v>
      </x:c>
      <x:c r="I142" s="12" t="str">
        <x:v>WAS+MariaDB+local files</x:v>
      </x:c>
    </x:row>
    <x:row r="143">
      <x:c r="A143" s="12" t="str">
        <x:v>CPF-QA-EXEC-343</x:v>
      </x:c>
      <x:c r="B143" s="12" t="str">
        <x:v>INSLOG</x:v>
      </x:c>
      <x:c r="C143" s="12" t="str">
        <x:v>WP11</x:v>
      </x:c>
      <x:c r="D143" s="12" t="str">
        <x:v>Large log streaming</x:v>
      </x:c>
      <x:c r="E143" s="12" t="str">
        <x:v>multi-GB fixture</x:v>
      </x:c>
      <x:c r="F143" s="12" t="str">
        <x:v>download/cancel</x:v>
      </x:c>
      <x:c r="G143" s="12" t="str">
        <x:v>bounded memory/disk and cleanup</x:v>
      </x:c>
      <x:c r="H143" s="12" t="str">
        <x:v>ADM/Agent/file/audit evidence</x:v>
      </x:c>
      <x:c r="I143" s="12" t="str">
        <x:v>WAS+MariaDB+local files</x:v>
      </x:c>
    </x:row>
    <x:row r="144">
      <x:c r="A144" s="12" t="str">
        <x:v>CPF-QA-EXEC-344</x:v>
      </x:c>
      <x:c r="B144" s="12" t="str">
        <x:v>INSLOG</x:v>
      </x:c>
      <x:c r="C144" s="12" t="str">
        <x:v>WP11</x:v>
      </x:c>
      <x:c r="D144" s="12" t="str">
        <x:v>Path traversal</x:v>
      </x:c>
      <x:c r="E144" s="12" t="str">
        <x:v>malicious path/id</x:v>
      </x:c>
      <x:c r="F144" s="12" t="str">
        <x:v>download</x:v>
      </x:c>
      <x:c r="G144" s="12" t="str">
        <x:v>rejected and audited</x:v>
      </x:c>
      <x:c r="H144" s="12" t="str">
        <x:v>ADM/Agent/file/audit evidence</x:v>
      </x:c>
      <x:c r="I144" s="12" t="str">
        <x:v>WAS+MariaDB+local files</x:v>
      </x:c>
    </x:row>
    <x:row r="145">
      <x:c r="A145" s="12" t="str">
        <x:v>CPF-QA-EXEC-345</x:v>
      </x:c>
      <x:c r="B145" s="12" t="str">
        <x:v>INSLOG</x:v>
      </x:c>
      <x:c r="C145" s="12" t="str">
        <x:v>WP11</x:v>
      </x:c>
      <x:c r="D145" s="12" t="str">
        <x:v>Symlink escape</x:v>
      </x:c>
      <x:c r="E145" s="12" t="str">
        <x:v>symlink outside root</x:v>
      </x:c>
      <x:c r="F145" s="12" t="str">
        <x:v>download</x:v>
      </x:c>
      <x:c r="G145" s="12" t="str">
        <x:v>rejected</x:v>
      </x:c>
      <x:c r="H145" s="12" t="str">
        <x:v>ADM/Agent/file/audit evidence</x:v>
      </x:c>
      <x:c r="I145" s="12" t="str">
        <x:v>WAS+MariaDB+local files</x:v>
      </x:c>
    </x:row>
    <x:row r="146">
      <x:c r="A146" s="12" t="str">
        <x:v>CPF-QA-EXEC-346</x:v>
      </x:c>
      <x:c r="B146" s="12" t="str">
        <x:v>INSLOG</x:v>
      </x:c>
      <x:c r="C146" s="12" t="str">
        <x:v>WP11</x:v>
      </x:c>
      <x:c r="D146" s="12" t="str">
        <x:v>Sensitive log</x:v>
      </x:c>
      <x:c r="E146" s="12" t="str">
        <x:v>PII/token fixture</x:v>
      </x:c>
      <x:c r="F146" s="12" t="str">
        <x:v>download</x:v>
      </x:c>
      <x:c r="G146" s="12" t="str">
        <x:v>masked or approved raw flow</x:v>
      </x:c>
      <x:c r="H146" s="12" t="str">
        <x:v>ADM/Agent/file/audit evidence</x:v>
      </x:c>
      <x:c r="I146" s="12" t="str">
        <x:v>WAS+MariaDB+local files</x:v>
      </x:c>
    </x:row>
    <x:row r="147">
      <x:c r="A147" s="12" t="str">
        <x:v>CPF-QA-EXEC-347</x:v>
      </x:c>
      <x:c r="B147" s="12" t="str">
        <x:v>INSLOG</x:v>
      </x:c>
      <x:c r="C147" s="12" t="str">
        <x:v>WP11</x:v>
      </x:c>
      <x:c r="D147" s="12" t="str">
        <x:v>Disconnected instance</x:v>
      </x:c>
      <x:c r="E147" s="12" t="str">
        <x:v>agent unavailable</x:v>
      </x:c>
      <x:c r="F147" s="12" t="str">
        <x:v>download</x:v>
      </x:c>
      <x:c r="G147" s="12" t="str">
        <x:v>clear partial/stale response</x:v>
      </x:c>
      <x:c r="H147" s="12" t="str">
        <x:v>ADM/Agent/file/audit evidence</x:v>
      </x:c>
      <x:c r="I147" s="12" t="str">
        <x:v>WAS+MariaDB+local files</x:v>
      </x:c>
    </x:row>
    <x:row r="148">
      <x:c r="A148" s="12" t="str">
        <x:v>CPF-QA-EXEC-348</x:v>
      </x:c>
      <x:c r="B148" s="12" t="str">
        <x:v>INSLOG</x:v>
      </x:c>
      <x:c r="C148" s="12" t="str">
        <x:v>WP11</x:v>
      </x:c>
      <x:c r="D148" s="12" t="str">
        <x:v>Client disconnect</x:v>
      </x:c>
      <x:c r="E148" s="12" t="str">
        <x:v>mid-download close</x:v>
      </x:c>
      <x:c r="F148" s="12" t="str">
        <x:v>observe server</x:v>
      </x:c>
      <x:c r="G148" s="12" t="str">
        <x:v>resource/temp cleanup</x:v>
      </x:c>
      <x:c r="H148" s="12" t="str">
        <x:v>ADM/Agent/file/audit evidence</x:v>
      </x:c>
      <x:c r="I148" s="12" t="str">
        <x:v>WAS+MariaDB+local files</x:v>
      </x:c>
    </x:row>
    <x:row r="149">
      <x:c r="A149" s="12" t="str">
        <x:v>CPF-QA-EXEC-349</x:v>
      </x:c>
      <x:c r="B149" s="12" t="str">
        <x:v>INSLOG</x:v>
      </x:c>
      <x:c r="C149" s="12" t="str">
        <x:v>WP11</x:v>
      </x:c>
      <x:c r="D149" s="12" t="str">
        <x:v>Download approval</x:v>
      </x:c>
      <x:c r="E149" s="12" t="str">
        <x:v>raw audit log</x:v>
      </x:c>
      <x:c r="F149" s="12" t="str">
        <x:v>request without/with approval</x:v>
      </x:c>
      <x:c r="G149" s="12" t="str">
        <x:v>fail-closed then audited download</x:v>
      </x:c>
      <x:c r="H149" s="12" t="str">
        <x:v>ADM/Agent/file/audit evidence</x:v>
      </x:c>
      <x:c r="I149" s="12" t="str">
        <x:v>WAS+MariaDB+local files</x:v>
      </x:c>
    </x:row>
    <x:row r="150">
      <x:c r="A150" s="12" t="str">
        <x:v>CPF-QA-EXEC-350</x:v>
      </x:c>
      <x:c r="B150" s="12" t="str">
        <x:v>DOCVAL</x:v>
      </x:c>
      <x:c r="C150" s="12" t="str">
        <x:v>WP12-WP15</x:v>
      </x:c>
      <x:c r="D150" s="12" t="str">
        <x:v>JavaDoc build</x:v>
      </x:c>
      <x:c r="E150" s="12" t="str">
        <x:v>all public API/SPI</x:v>
      </x:c>
      <x:c r="F150" s="12" t="str">
        <x:v>generate javadoc with doclint</x:v>
      </x:c>
      <x:c r="G150" s="12" t="str">
        <x:v>errors/warnings policy pass</x:v>
      </x:c>
      <x:c r="H150" s="12" t="str">
        <x:v>build/spec/matrix/evidence</x:v>
      </x:c>
      <x:c r="I150" s="12" t="str">
        <x:v>Mixed</x:v>
      </x:c>
    </x:row>
    <x:row r="151">
      <x:c r="A151" s="12" t="str">
        <x:v>CPF-QA-EXEC-351</x:v>
      </x:c>
      <x:c r="B151" s="12" t="str">
        <x:v>DOCVAL</x:v>
      </x:c>
      <x:c r="C151" s="12" t="str">
        <x:v>WP12-WP15</x:v>
      </x:c>
      <x:c r="D151" s="12" t="str">
        <x:v>OpenAPI snapshot</x:v>
      </x:c>
      <x:c r="E151" s="12" t="str">
        <x:v>all controllers</x:v>
      </x:c>
      <x:c r="F151" s="12" t="str">
        <x:v>generate spec</x:v>
      </x:c>
      <x:c r="G151" s="12" t="str">
        <x:v>operation/headers/errors/examples complete</x:v>
      </x:c>
      <x:c r="H151" s="12" t="str">
        <x:v>build/spec/matrix/evidence</x:v>
      </x:c>
      <x:c r="I151" s="12" t="str">
        <x:v>Mixed</x:v>
      </x:c>
    </x:row>
    <x:row r="152">
      <x:c r="A152" s="12" t="str">
        <x:v>CPF-QA-EXEC-352</x:v>
      </x:c>
      <x:c r="B152" s="12" t="str">
        <x:v>DOCVAL</x:v>
      </x:c>
      <x:c r="C152" s="12" t="str">
        <x:v>WP12-WP15</x:v>
      </x:c>
      <x:c r="D152" s="12" t="str">
        <x:v>OpenAPI negative examples</x:v>
      </x:c>
      <x:c r="E152" s="12" t="str">
        <x:v>selected APIs</x:v>
      </x:c>
      <x:c r="F152" s="12" t="str">
        <x:v>validate examples</x:v>
      </x:c>
      <x:c r="G152" s="12" t="str">
        <x:v>examples conform to schemas</x:v>
      </x:c>
      <x:c r="H152" s="12" t="str">
        <x:v>build/spec/matrix/evidence</x:v>
      </x:c>
      <x:c r="I152" s="12" t="str">
        <x:v>Mixed</x:v>
      </x:c>
    </x:row>
    <x:row r="153">
      <x:c r="A153" s="12" t="str">
        <x:v>CPF-QA-EXEC-353</x:v>
      </x:c>
      <x:c r="B153" s="12" t="str">
        <x:v>DOCVAL</x:v>
      </x:c>
      <x:c r="C153" s="12" t="str">
        <x:v>WP12-WP15</x:v>
      </x:c>
      <x:c r="D153" s="12" t="str">
        <x:v>package-info coverage</x:v>
      </x:c>
      <x:c r="E153" s="12" t="str">
        <x:v>public/major packages</x:v>
      </x:c>
      <x:c r="F153" s="12" t="str">
        <x:v>scan</x:v>
      </x:c>
      <x:c r="G153" s="12" t="str">
        <x:v>required Korean responsibility docs present</x:v>
      </x:c>
      <x:c r="H153" s="12" t="str">
        <x:v>build/spec/matrix/evidence</x:v>
      </x:c>
      <x:c r="I153" s="12" t="str">
        <x:v>Mixed</x:v>
      </x:c>
    </x:row>
    <x:row r="154">
      <x:c r="A154" s="12" t="str">
        <x:v>CPF-QA-EXEC-354</x:v>
      </x:c>
      <x:c r="B154" s="12" t="str">
        <x:v>DOCVAL</x:v>
      </x:c>
      <x:c r="C154" s="12" t="str">
        <x:v>WP12-WP15</x:v>
      </x:c>
      <x:c r="D154" s="12" t="str">
        <x:v>EDU command execution</x:v>
      </x:c>
      <x:c r="E154" s="12" t="str">
        <x:v>all reference guides</x:v>
      </x:c>
      <x:c r="F154" s="12" t="str">
        <x:v>execute commands</x:v>
      </x:c>
      <x:c r="G154" s="12" t="str">
        <x:v>all commands and expected results valid</x:v>
      </x:c>
      <x:c r="H154" s="12" t="str">
        <x:v>build/spec/matrix/evidence</x:v>
      </x:c>
      <x:c r="I154" s="12" t="str">
        <x:v>Mixed</x:v>
      </x:c>
    </x:row>
    <x:row r="155">
      <x:c r="A155" s="12" t="str">
        <x:v>CPF-QA-EXEC-355</x:v>
      </x:c>
      <x:c r="B155" s="12" t="str">
        <x:v>DOCVAL</x:v>
      </x:c>
      <x:c r="C155" s="12" t="str">
        <x:v>WP12-WP15</x:v>
      </x:c>
      <x:c r="D155" s="12" t="str">
        <x:v>EDU requirement trace</x:v>
      </x:c>
      <x:c r="E155" s="12" t="str">
        <x:v>all examples</x:v>
      </x:c>
      <x:c r="F155" s="12" t="str">
        <x:v>matrix scan</x:v>
      </x:c>
      <x:c r="G155" s="12" t="str">
        <x:v>each feature has examples and each example maps feature</x:v>
      </x:c>
      <x:c r="H155" s="12" t="str">
        <x:v>build/spec/matrix/evidence</x:v>
      </x:c>
      <x:c r="I155" s="12" t="str">
        <x:v>Mixed</x:v>
      </x:c>
    </x:row>
    <x:row r="156">
      <x:c r="A156" s="12" t="str">
        <x:v>CPF-QA-EXEC-356</x:v>
      </x:c>
      <x:c r="B156" s="12" t="str">
        <x:v>DOCVAL</x:v>
      </x:c>
      <x:c r="C156" s="12" t="str">
        <x:v>WP12-WP15</x:v>
      </x:c>
      <x:c r="D156" s="12" t="str">
        <x:v>Reference CI</x:v>
      </x:c>
      <x:c r="E156" s="12" t="str">
        <x:v>cpfIncludeReferenceDomains=true</x:v>
      </x:c>
      <x:c r="F156" s="12" t="str">
        <x:v>clean build/test/run</x:v>
      </x:c>
      <x:c r="G156" s="12" t="str">
        <x:v>required matrix pass</x:v>
      </x:c>
      <x:c r="H156" s="12" t="str">
        <x:v>build/spec/matrix/evidence</x:v>
      </x:c>
      <x:c r="I156" s="12" t="str">
        <x:v>Mixed</x:v>
      </x:c>
    </x:row>
    <x:row r="157">
      <x:c r="A157" s="12" t="str">
        <x:v>CPF-QA-EXEC-357</x:v>
      </x:c>
      <x:c r="B157" s="12" t="str">
        <x:v>DOCVAL</x:v>
      </x:c>
      <x:c r="C157" s="12" t="str">
        <x:v>WP12-WP15</x:v>
      </x:c>
      <x:c r="D157" s="12" t="str">
        <x:v>Generator new domain</x:v>
      </x:c>
      <x:c r="E157" s="12" t="str">
        <x:v>random DomainName/SystemCode</x:v>
      </x:c>
      <x:c r="F157" s="12" t="str">
        <x:v>generate/build/run</x:v>
      </x:c>
      <x:c r="G157" s="12" t="str">
        <x:v>no hard-coded domain assumptions</x:v>
      </x:c>
      <x:c r="H157" s="12" t="str">
        <x:v>build/spec/matrix/evidence</x:v>
      </x:c>
      <x:c r="I157" s="12" t="str">
        <x:v>Mixed</x:v>
      </x:c>
    </x:row>
    <x:row r="158">
      <x:c r="A158" s="12" t="str">
        <x:v>CPF-QA-EXEC-358</x:v>
      </x:c>
      <x:c r="B158" s="12" t="str">
        <x:v>DOCVAL</x:v>
      </x:c>
      <x:c r="C158" s="12" t="str">
        <x:v>WP12-WP15</x:v>
      </x:c>
      <x:c r="D158" s="12" t="str">
        <x:v>Generator regeneration</x:v>
      </x:c>
      <x:c r="E158" s="12" t="str">
        <x:v>user extension present</x:v>
      </x:c>
      <x:c r="F158" s="12" t="str">
        <x:v>regenerate</x:v>
      </x:c>
      <x:c r="G158" s="12" t="str">
        <x:v>user code preserved</x:v>
      </x:c>
      <x:c r="H158" s="12" t="str">
        <x:v>build/spec/matrix/evidence</x:v>
      </x:c>
      <x:c r="I158" s="12" t="str">
        <x:v>Mixed</x:v>
      </x:c>
    </x:row>
    <x:row r="159">
      <x:c r="A159" s="12" t="str">
        <x:v>CPF-QA-EXEC-359</x:v>
      </x:c>
      <x:c r="B159" s="12" t="str">
        <x:v>DOCVAL</x:v>
      </x:c>
      <x:c r="C159" s="12" t="str">
        <x:v>WP12-WP15</x:v>
      </x:c>
      <x:c r="D159" s="12" t="str">
        <x:v>Generator client gate</x:v>
      </x:c>
      <x:c r="E159" s="12" t="str">
        <x:v>generated domain</x:v>
      </x:c>
      <x:c r="F159" s="12" t="str">
        <x:v>source scan</x:v>
      </x:c>
      <x:c r="G159" s="12" t="str">
        <x:v>raw client usage 0</x:v>
      </x:c>
      <x:c r="H159" s="12" t="str">
        <x:v>build/spec/matrix/evidence</x:v>
      </x:c>
      <x:c r="I159" s="12" t="str">
        <x:v>Mixed</x:v>
      </x:c>
    </x:row>
    <x:row r="160">
      <x:c r="A160" s="12" t="str">
        <x:v>CPF-QA-EXEC-360</x:v>
      </x:c>
      <x:c r="B160" s="12" t="str">
        <x:v>DOCVAL</x:v>
      </x:c>
      <x:c r="C160" s="12" t="str">
        <x:v>WP12-WP15</x:v>
      </x:c>
      <x:c r="D160" s="12" t="str">
        <x:v>MariaDB fresh install</x:v>
      </x:c>
      <x:c r="E160" s="12" t="str">
        <x:v>empty schemas</x:v>
      </x:c>
      <x:c r="F160" s="12" t="str">
        <x:v>install/seed/verify</x:v>
      </x:c>
      <x:c r="G160" s="12" t="str">
        <x:v>canonical match</x:v>
      </x:c>
      <x:c r="H160" s="12" t="str">
        <x:v>build/spec/matrix/evidence</x:v>
      </x:c>
      <x:c r="I160" s="12" t="str">
        <x:v>Mixed</x:v>
      </x:c>
    </x:row>
    <x:row r="161">
      <x:c r="A161" s="12" t="str">
        <x:v>CPF-QA-EXEC-361</x:v>
      </x:c>
      <x:c r="B161" s="12" t="str">
        <x:v>DOCVAL</x:v>
      </x:c>
      <x:c r="C161" s="12" t="str">
        <x:v>WP12-WP15</x:v>
      </x:c>
      <x:c r="D161" s="12" t="str">
        <x:v>MariaDB upgrade</x:v>
      </x:c>
      <x:c r="E161" s="12" t="str">
        <x:v>prior supported baseline</x:v>
      </x:c>
      <x:c r="F161" s="12" t="str">
        <x:v>migrate</x:v>
      </x:c>
      <x:c r="G161" s="12" t="str">
        <x:v>data/constraints preserved</x:v>
      </x:c>
      <x:c r="H161" s="12" t="str">
        <x:v>build/spec/matrix/evidence</x:v>
      </x:c>
      <x:c r="I161" s="12" t="str">
        <x:v>Mixed</x:v>
      </x:c>
    </x:row>
    <x:row r="162">
      <x:c r="A162" s="12" t="str">
        <x:v>CPF-QA-EXEC-362</x:v>
      </x:c>
      <x:c r="B162" s="12" t="str">
        <x:v>DOCVAL</x:v>
      </x:c>
      <x:c r="C162" s="12" t="str">
        <x:v>WP12-WP15</x:v>
      </x:c>
      <x:c r="D162" s="12" t="str">
        <x:v>MariaDB rollback/reapply</x:v>
      </x:c>
      <x:c r="E162" s="12" t="str">
        <x:v>latest migration</x:v>
      </x:c>
      <x:c r="F162" s="12" t="str">
        <x:v>rollback/reapply</x:v>
      </x:c>
      <x:c r="G162" s="12" t="str">
        <x:v>documented recovery and final parity</x:v>
      </x:c>
      <x:c r="H162" s="12" t="str">
        <x:v>build/spec/matrix/evidence</x:v>
      </x:c>
      <x:c r="I162" s="12" t="str">
        <x:v>Mixed</x:v>
      </x:c>
    </x:row>
    <x:row r="163">
      <x:c r="A163" s="12" t="str">
        <x:v>CPF-QA-EXEC-363</x:v>
      </x:c>
      <x:c r="B163" s="12" t="str">
        <x:v>DOCVAL</x:v>
      </x:c>
      <x:c r="C163" s="12" t="str">
        <x:v>WP12-WP15</x:v>
      </x:c>
      <x:c r="D163" s="12" t="str">
        <x:v>MariaDB query registry</x:v>
      </x:c>
      <x:c r="E163" s="12" t="str">
        <x:v>all runtime queries</x:v>
      </x:c>
      <x:c r="F163" s="12" t="str">
        <x:v>prepare/execute</x:v>
      </x:c>
      <x:c r="G163" s="12" t="str">
        <x:v>parameter/result/dialect pass</x:v>
      </x:c>
      <x:c r="H163" s="12" t="str">
        <x:v>build/spec/matrix/evidence</x:v>
      </x:c>
      <x:c r="I163" s="12" t="str">
        <x:v>Mixed</x:v>
      </x:c>
    </x:row>
    <x:row r="164">
      <x:c r="A164" s="12" t="str">
        <x:v>CPF-QA-EXEC-364</x:v>
      </x:c>
      <x:c r="B164" s="12" t="str">
        <x:v>DOCVAL</x:v>
      </x:c>
      <x:c r="C164" s="12" t="str">
        <x:v>WP12-WP15</x:v>
      </x:c>
      <x:c r="D164" s="12" t="str">
        <x:v>PostgreSQL static pack</x:v>
      </x:c>
      <x:c r="E164" s="12" t="str">
        <x:v>generated/vendor pack</x:v>
      </x:c>
      <x:c r="F164" s="12" t="str">
        <x:v>parse/check parity</x:v>
      </x:c>
      <x:c r="G164" s="12" t="str">
        <x:v>no MariaDB syntax leakage</x:v>
      </x:c>
      <x:c r="H164" s="12" t="str">
        <x:v>build/spec/matrix/evidence</x:v>
      </x:c>
      <x:c r="I164" s="12" t="str">
        <x:v>Mixed</x:v>
      </x:c>
    </x:row>
    <x:row r="165">
      <x:c r="A165" s="12" t="str">
        <x:v>CPF-QA-EXEC-365</x:v>
      </x:c>
      <x:c r="B165" s="12" t="str">
        <x:v>DOCVAL</x:v>
      </x:c>
      <x:c r="C165" s="12" t="str">
        <x:v>WP12-WP15</x:v>
      </x:c>
      <x:c r="D165" s="12" t="str">
        <x:v>Oracle static pack</x:v>
      </x:c>
      <x:c r="E165" s="12" t="str">
        <x:v>generated/vendor pack</x:v>
      </x:c>
      <x:c r="F165" s="12" t="str">
        <x:v>parse/check parity</x:v>
      </x:c>
      <x:c r="G165" s="12" t="str">
        <x:v>no PostgreSQL/Maria syntax leakage</x:v>
      </x:c>
      <x:c r="H165" s="12" t="str">
        <x:v>build/spec/matrix/evidence</x:v>
      </x:c>
      <x:c r="I165" s="12" t="str">
        <x:v>Mixed</x:v>
      </x:c>
    </x:row>
    <x:row r="166">
      <x:c r="A166" s="12" t="str">
        <x:v>CPF-QA-EXEC-366</x:v>
      </x:c>
      <x:c r="B166" s="12" t="str">
        <x:v>DOCVAL</x:v>
      </x:c>
      <x:c r="C166" s="12" t="str">
        <x:v>WP12-WP15</x:v>
      </x:c>
      <x:c r="D166" s="12" t="str">
        <x:v>Secret scan</x:v>
      </x:c>
      <x:c r="E166" s="12" t="str">
        <x:v>source/config/evidence</x:v>
      </x:c>
      <x:c r="F166" s="12" t="str">
        <x:v>scan</x:v>
      </x:c>
      <x:c r="G166" s="12" t="str">
        <x:v>real secrets/PII 0</x:v>
      </x:c>
      <x:c r="H166" s="12" t="str">
        <x:v>build/spec/matrix/evidence</x:v>
      </x:c>
      <x:c r="I166" s="12" t="str">
        <x:v>Mixed</x:v>
      </x:c>
    </x:row>
    <x:row r="167">
      <x:c r="A167" s="12" t="str">
        <x:v>CPF-QA-EXEC-367</x:v>
      </x:c>
      <x:c r="B167" s="12" t="str">
        <x:v>DOCVAL</x:v>
      </x:c>
      <x:c r="C167" s="12" t="str">
        <x:v>WP12-WP15</x:v>
      </x:c>
      <x:c r="D167" s="12" t="str">
        <x:v>Repository hygiene</x:v>
      </x:c>
      <x:c r="E167" s="12" t="str">
        <x:v>clean clone</x:v>
      </x:c>
      <x:c r="F167" s="12" t="str">
        <x:v>run hygiene gate</x:v>
      </x:c>
      <x:c r="G167" s="12" t="str">
        <x:v>build/tmp/overlay debris policy pass</x:v>
      </x:c>
      <x:c r="H167" s="12" t="str">
        <x:v>build/spec/matrix/evidence</x:v>
      </x:c>
      <x:c r="I167" s="12" t="str">
        <x:v>Mixed</x:v>
      </x:c>
    </x:row>
    <x:row r="168">
      <x:c r="A168" s="12" t="str">
        <x:v>CPF-QA-EXEC-368</x:v>
      </x:c>
      <x:c r="B168" s="12" t="str">
        <x:v>DOCVAL</x:v>
      </x:c>
      <x:c r="C168" s="12" t="str">
        <x:v>WP12-WP15</x:v>
      </x:c>
      <x:c r="D168" s="12" t="str">
        <x:v>Protected regression selection</x:v>
      </x:c>
      <x:c r="E168" s="12" t="str">
        <x:v>change common header</x:v>
      </x:c>
      <x:c r="F168" s="12" t="str">
        <x:v>impact analyzer</x:v>
      </x:c>
      <x:c r="G168" s="12" t="str">
        <x:v>gateway/message/TCP/generator/EDU tests selected</x:v>
      </x:c>
      <x:c r="H168" s="12" t="str">
        <x:v>build/spec/matrix/evidence</x:v>
      </x:c>
      <x:c r="I168" s="12" t="str">
        <x:v>Mixed</x:v>
      </x:c>
    </x:row>
    <x:row r="169">
      <x:c r="A169" s="12" t="str">
        <x:v>CPF-QA-EXEC-369</x:v>
      </x:c>
      <x:c r="B169" s="12" t="str">
        <x:v>DOCVAL</x:v>
      </x:c>
      <x:c r="C169" s="12" t="str">
        <x:v>WP12-WP15</x:v>
      </x:c>
      <x:c r="D169" s="12" t="str">
        <x:v>Release gate with deferred providers</x:v>
      </x:c>
      <x:c r="E169" s="12" t="str">
        <x:v>external providers uninstalled</x:v>
      </x:c>
      <x:c r="F169" s="12" t="str">
        <x:v>run release evaluation</x:v>
      </x:c>
      <x:c r="G169" s="12" t="str">
        <x:v>real integration stays 미검증 and GA policy explicit</x:v>
      </x:c>
      <x:c r="H169" s="12" t="str">
        <x:v>build/spec/matrix/evidence</x:v>
      </x:c>
      <x:c r="I169" s="12" t="str">
        <x:v>Mixed</x:v>
      </x:c>
    </x:row>
    <x:row r="170">
      <x:c r="A170" s="12" t="str">
        <x:v>CPF-QA-EXEC-370</x:v>
      </x:c>
      <x:c r="B170" s="12" t="str">
        <x:v>ADMRT</x:v>
      </x:c>
      <x:c r="C170" s="12" t="str">
        <x:v>WP16</x:v>
      </x:c>
      <x:c r="D170" s="12" t="str">
        <x:v>공통코드 — 정상 실시간 적용</x:v>
      </x:c>
      <x:c r="E170" s="12" t="str">
        <x:v>2개 Instance, 공통코드 v1 적용 상태</x:v>
      </x:c>
      <x:c r="F170" s="12" t="str">
        <x:v>ADM에서 대상 Preview→사유/승인→v2 적용→대상별 ACK/Actual 조회</x:v>
      </x:c>
      <x:c r="G170" s="12" t="str">
        <x:v>모든 대상 v2, 동일 Hash, Drift 0, 감사 전후값 기록</x:v>
      </x:c>
      <x:c r="H170" s="12" t="str">
        <x:v>API/DB/ADM 화면/Runtime log/ACK·Drift/Audit/Transaction ID</x:v>
      </x:c>
      <x:c r="I170" s="12" t="str">
        <x:v>WAS 2+·MariaDB; 외부 Provider는 Simulator 병행</x:v>
      </x:c>
    </x:row>
    <x:row r="171">
      <x:c r="A171" s="12" t="str">
        <x:v>CPF-QA-EXEC-371</x:v>
      </x:c>
      <x:c r="B171" s="12" t="str">
        <x:v>ADMRT</x:v>
      </x:c>
      <x:c r="C171" s="12" t="str">
        <x:v>WP16</x:v>
      </x:c>
      <x:c r="D171" s="12" t="str">
        <x:v>공통코드 — 부분 실패·Offline 복귀</x:v>
      </x:c>
      <x:c r="E171" s="12" t="str">
        <x:v>3개 대상 중 1개 Offline, 공통코드 v1</x:v>
      </x:c>
      <x:c r="F171" s="12" t="str">
        <x:v>v2 적용 후 Online 2개 ACK 확인→Offline Instance 재접속</x:v>
      </x:c>
      <x:c r="G171" s="12" t="str">
        <x:v>초기 PARTIAL, 재접속 후 v2 Reconcile, 전체 성공 조기 판정 없음</x:v>
      </x:c>
      <x:c r="H171" s="12" t="str">
        <x:v>API/DB/ADM 화면/Runtime log/ACK·Drift/Audit/Transaction ID</x:v>
      </x:c>
      <x:c r="I171" s="12" t="str">
        <x:v>WAS 2+·MariaDB; 외부 Provider는 Simulator 병행</x:v>
      </x:c>
    </x:row>
    <x:row r="172">
      <x:c r="A172" s="12" t="str">
        <x:v>CPF-QA-EXEC-372</x:v>
      </x:c>
      <x:c r="B172" s="12" t="str">
        <x:v>ADMRT</x:v>
      </x:c>
      <x:c r="C172" s="12" t="str">
        <x:v>WP16</x:v>
      </x:c>
      <x:c r="D172" s="12" t="str">
        <x:v>공통코드 — 중복·역전·응답 유실</x:v>
      </x:c>
      <x:c r="E172" s="12" t="str">
        <x:v>공통코드 v2 적용 직후 응답 유실</x:v>
      </x:c>
      <x:c r="F172" s="12" t="str">
        <x:v>같은 operationId 재시도→v1 지연 Delivery→Controller/Consumer 재시작</x:v>
      </x:c>
      <x:c r="G172" s="12" t="str">
        <x:v>Side Effect 1회, v1 거부, 최종 v2 유지, 결과 조회 가능</x:v>
      </x:c>
      <x:c r="H172" s="12" t="str">
        <x:v>API/DB/ADM 화면/Runtime log/ACK·Drift/Audit/Transaction ID</x:v>
      </x:c>
      <x:c r="I172" s="12" t="str">
        <x:v>WAS 2+·MariaDB; 외부 Provider는 Simulator 병행</x:v>
      </x:c>
    </x:row>
    <x:row r="173">
      <x:c r="A173" s="12" t="str">
        <x:v>CPF-QA-EXEC-373</x:v>
      </x:c>
      <x:c r="B173" s="12" t="str">
        <x:v>ADMRT</x:v>
      </x:c>
      <x:c r="C173" s="12" t="str">
        <x:v>WP16</x:v>
      </x:c>
      <x:c r="D173" s="12" t="str">
        <x:v>공통코드 — 실패·Rollback·감사</x:v>
      </x:c>
      <x:c r="E173" s="12" t="str">
        <x:v>공통코드 v2가 Canary에서 오류 발생</x:v>
      </x:c>
      <x:c r="F173" s="12" t="str">
        <x:v>Wave 중단→Rollback/Forward Recovery→감사·알림·최종 상태 조회</x:v>
      </x:c>
      <x:c r="G173" s="12" t="str">
        <x:v>비정상 Wave 확산 0, Last Good 복원 또는 승인된 Forward Recovery, 실패 원인 보존</x:v>
      </x:c>
      <x:c r="H173" s="12" t="str">
        <x:v>API/DB/ADM 화면/Runtime log/ACK·Drift/Audit/Transaction ID</x:v>
      </x:c>
      <x:c r="I173" s="12" t="str">
        <x:v>WAS 2+·MariaDB; 외부 Provider는 Simulator 병행</x:v>
      </x:c>
    </x:row>
    <x:row r="174">
      <x:c r="A174" s="12" t="str">
        <x:v>CPF-QA-EXEC-374</x:v>
      </x:c>
      <x:c r="B174" s="12" t="str">
        <x:v>ADMRT</x:v>
      </x:c>
      <x:c r="C174" s="12" t="str">
        <x:v>WP16</x:v>
      </x:c>
      <x:c r="D174" s="12" t="str">
        <x:v>메시지·응답코드 — 정상 실시간 적용</x:v>
      </x:c>
      <x:c r="E174" s="12" t="str">
        <x:v>2개 Instance, 메시지·응답코드 v1 적용 상태</x:v>
      </x:c>
      <x:c r="F174" s="12" t="str">
        <x:v>ADM에서 대상 Preview→사유/승인→v2 적용→대상별 ACK/Actual 조회</x:v>
      </x:c>
      <x:c r="G174" s="12" t="str">
        <x:v>모든 대상 v2, 동일 Hash, Drift 0, 감사 전후값 기록</x:v>
      </x:c>
      <x:c r="H174" s="12" t="str">
        <x:v>API/DB/ADM 화면/Runtime log/ACK·Drift/Audit/Transaction ID</x:v>
      </x:c>
      <x:c r="I174" s="12" t="str">
        <x:v>WAS 2+·MariaDB; 외부 Provider는 Simulator 병행</x:v>
      </x:c>
    </x:row>
    <x:row r="175">
      <x:c r="A175" s="12" t="str">
        <x:v>CPF-QA-EXEC-375</x:v>
      </x:c>
      <x:c r="B175" s="12" t="str">
        <x:v>ADMRT</x:v>
      </x:c>
      <x:c r="C175" s="12" t="str">
        <x:v>WP16</x:v>
      </x:c>
      <x:c r="D175" s="12" t="str">
        <x:v>메시지·응답코드 — 부분 실패·Offline 복귀</x:v>
      </x:c>
      <x:c r="E175" s="12" t="str">
        <x:v>3개 대상 중 1개 Offline, 메시지·응답코드 v1</x:v>
      </x:c>
      <x:c r="F175" s="12" t="str">
        <x:v>v2 적용 후 Online 2개 ACK 확인→Offline Instance 재접속</x:v>
      </x:c>
      <x:c r="G175" s="12" t="str">
        <x:v>초기 PARTIAL, 재접속 후 v2 Reconcile, 전체 성공 조기 판정 없음</x:v>
      </x:c>
      <x:c r="H175" s="12" t="str">
        <x:v>API/DB/ADM 화면/Runtime log/ACK·Drift/Audit/Transaction ID</x:v>
      </x:c>
      <x:c r="I175" s="12" t="str">
        <x:v>WAS 2+·MariaDB; 외부 Provider는 Simulator 병행</x:v>
      </x:c>
    </x:row>
    <x:row r="176">
      <x:c r="A176" s="12" t="str">
        <x:v>CPF-QA-EXEC-376</x:v>
      </x:c>
      <x:c r="B176" s="12" t="str">
        <x:v>ADMRT</x:v>
      </x:c>
      <x:c r="C176" s="12" t="str">
        <x:v>WP16</x:v>
      </x:c>
      <x:c r="D176" s="12" t="str">
        <x:v>메시지·응답코드 — 중복·역전·응답 유실</x:v>
      </x:c>
      <x:c r="E176" s="12" t="str">
        <x:v>메시지·응답코드 v2 적용 직후 응답 유실</x:v>
      </x:c>
      <x:c r="F176" s="12" t="str">
        <x:v>같은 operationId 재시도→v1 지연 Delivery→Controller/Consumer 재시작</x:v>
      </x:c>
      <x:c r="G176" s="12" t="str">
        <x:v>Side Effect 1회, v1 거부, 최종 v2 유지, 결과 조회 가능</x:v>
      </x:c>
      <x:c r="H176" s="12" t="str">
        <x:v>API/DB/ADM 화면/Runtime log/ACK·Drift/Audit/Transaction ID</x:v>
      </x:c>
      <x:c r="I176" s="12" t="str">
        <x:v>WAS 2+·MariaDB; 외부 Provider는 Simulator 병행</x:v>
      </x:c>
    </x:row>
    <x:row r="177">
      <x:c r="A177" s="12" t="str">
        <x:v>CPF-QA-EXEC-377</x:v>
      </x:c>
      <x:c r="B177" s="12" t="str">
        <x:v>ADMRT</x:v>
      </x:c>
      <x:c r="C177" s="12" t="str">
        <x:v>WP16</x:v>
      </x:c>
      <x:c r="D177" s="12" t="str">
        <x:v>메시지·응답코드 — 실패·Rollback·감사</x:v>
      </x:c>
      <x:c r="E177" s="12" t="str">
        <x:v>메시지·응답코드 v2가 Canary에서 오류 발생</x:v>
      </x:c>
      <x:c r="F177" s="12" t="str">
        <x:v>Wave 중단→Rollback/Forward Recovery→감사·알림·최종 상태 조회</x:v>
      </x:c>
      <x:c r="G177" s="12" t="str">
        <x:v>비정상 Wave 확산 0, Last Good 복원 또는 승인된 Forward Recovery, 실패 원인 보존</x:v>
      </x:c>
      <x:c r="H177" s="12" t="str">
        <x:v>API/DB/ADM 화면/Runtime log/ACK·Drift/Audit/Transaction ID</x:v>
      </x:c>
      <x:c r="I177" s="12" t="str">
        <x:v>WAS 2+·MariaDB; 외부 Provider는 Simulator 병행</x:v>
      </x:c>
    </x:row>
    <x:row r="178">
      <x:c r="A178" s="12" t="str">
        <x:v>CPF-QA-EXEC-378</x:v>
      </x:c>
      <x:c r="B178" s="12" t="str">
        <x:v>ADMRT</x:v>
      </x:c>
      <x:c r="C178" s="12" t="str">
        <x:v>WP16</x:v>
      </x:c>
      <x:c r="D178" s="12" t="str">
        <x:v>설정·Parameter·Feature Flag — 정상 실시간 적용</x:v>
      </x:c>
      <x:c r="E178" s="12" t="str">
        <x:v>2개 Instance, 설정·Parameter·Feature Flag v1 적용 상태</x:v>
      </x:c>
      <x:c r="F178" s="12" t="str">
        <x:v>ADM에서 대상 Preview→사유/승인→v2 적용→대상별 ACK/Actual 조회</x:v>
      </x:c>
      <x:c r="G178" s="12" t="str">
        <x:v>모든 대상 v2, 동일 Hash, Drift 0, 감사 전후값 기록</x:v>
      </x:c>
      <x:c r="H178" s="12" t="str">
        <x:v>API/DB/ADM 화면/Runtime log/ACK·Drift/Audit/Transaction ID</x:v>
      </x:c>
      <x:c r="I178" s="12" t="str">
        <x:v>WAS 2+·MariaDB; 외부 Provider는 Simulator 병행</x:v>
      </x:c>
    </x:row>
    <x:row r="179">
      <x:c r="A179" s="12" t="str">
        <x:v>CPF-QA-EXEC-379</x:v>
      </x:c>
      <x:c r="B179" s="12" t="str">
        <x:v>ADMRT</x:v>
      </x:c>
      <x:c r="C179" s="12" t="str">
        <x:v>WP16</x:v>
      </x:c>
      <x:c r="D179" s="12" t="str">
        <x:v>설정·Parameter·Feature Flag — 부분 실패·Offline 복귀</x:v>
      </x:c>
      <x:c r="E179" s="12" t="str">
        <x:v>3개 대상 중 1개 Offline, 설정·Parameter·Feature Flag v1</x:v>
      </x:c>
      <x:c r="F179" s="12" t="str">
        <x:v>v2 적용 후 Online 2개 ACK 확인→Offline Instance 재접속</x:v>
      </x:c>
      <x:c r="G179" s="12" t="str">
        <x:v>초기 PARTIAL, 재접속 후 v2 Reconcile, 전체 성공 조기 판정 없음</x:v>
      </x:c>
      <x:c r="H179" s="12" t="str">
        <x:v>API/DB/ADM 화면/Runtime log/ACK·Drift/Audit/Transaction ID</x:v>
      </x:c>
      <x:c r="I179" s="12" t="str">
        <x:v>WAS 2+·MariaDB; 외부 Provider는 Simulator 병행</x:v>
      </x:c>
    </x:row>
    <x:row r="180">
      <x:c r="A180" s="12" t="str">
        <x:v>CPF-QA-EXEC-380</x:v>
      </x:c>
      <x:c r="B180" s="12" t="str">
        <x:v>ADMRT</x:v>
      </x:c>
      <x:c r="C180" s="12" t="str">
        <x:v>WP16</x:v>
      </x:c>
      <x:c r="D180" s="12" t="str">
        <x:v>설정·Parameter·Feature Flag — 중복·역전·응답 유실</x:v>
      </x:c>
      <x:c r="E180" s="12" t="str">
        <x:v>설정·Parameter·Feature Flag v2 적용 직후 응답 유실</x:v>
      </x:c>
      <x:c r="F180" s="12" t="str">
        <x:v>같은 operationId 재시도→v1 지연 Delivery→Controller/Consumer 재시작</x:v>
      </x:c>
      <x:c r="G180" s="12" t="str">
        <x:v>Side Effect 1회, v1 거부, 최종 v2 유지, 결과 조회 가능</x:v>
      </x:c>
      <x:c r="H180" s="12" t="str">
        <x:v>API/DB/ADM 화면/Runtime log/ACK·Drift/Audit/Transaction ID</x:v>
      </x:c>
      <x:c r="I180" s="12" t="str">
        <x:v>WAS 2+·MariaDB; 외부 Provider는 Simulator 병행</x:v>
      </x:c>
    </x:row>
    <x:row r="181">
      <x:c r="A181" s="12" t="str">
        <x:v>CPF-QA-EXEC-381</x:v>
      </x:c>
      <x:c r="B181" s="12" t="str">
        <x:v>ADMRT</x:v>
      </x:c>
      <x:c r="C181" s="12" t="str">
        <x:v>WP16</x:v>
      </x:c>
      <x:c r="D181" s="12" t="str">
        <x:v>설정·Parameter·Feature Flag — 실패·Rollback·감사</x:v>
      </x:c>
      <x:c r="E181" s="12" t="str">
        <x:v>설정·Parameter·Feature Flag v2가 Canary에서 오류 발생</x:v>
      </x:c>
      <x:c r="F181" s="12" t="str">
        <x:v>Wave 중단→Rollback/Forward Recovery→감사·알림·최종 상태 조회</x:v>
      </x:c>
      <x:c r="G181" s="12" t="str">
        <x:v>비정상 Wave 확산 0, Last Good 복원 또는 승인된 Forward Recovery, 실패 원인 보존</x:v>
      </x:c>
      <x:c r="H181" s="12" t="str">
        <x:v>API/DB/ADM 화면/Runtime log/ACK·Drift/Audit/Transaction ID</x:v>
      </x:c>
      <x:c r="I181" s="12" t="str">
        <x:v>WAS 2+·MariaDB; 외부 Provider는 Simulator 병행</x:v>
      </x:c>
    </x:row>
    <x:row r="182">
      <x:c r="A182" s="12" t="str">
        <x:v>CPF-QA-EXEC-382</x:v>
      </x:c>
      <x:c r="B182" s="12" t="str">
        <x:v>ADMRT</x:v>
      </x:c>
      <x:c r="C182" s="12" t="str">
        <x:v>WP16</x:v>
      </x:c>
      <x:c r="D182" s="12" t="str">
        <x:v>Cache — 정상 실시간 적용</x:v>
      </x:c>
      <x:c r="E182" s="12" t="str">
        <x:v>2개 Instance, Cache v1 적용 상태</x:v>
      </x:c>
      <x:c r="F182" s="12" t="str">
        <x:v>ADM에서 대상 Preview→사유/승인→v2 적용→대상별 ACK/Actual 조회</x:v>
      </x:c>
      <x:c r="G182" s="12" t="str">
        <x:v>모든 대상 v2, 동일 Hash, Drift 0, 감사 전후값 기록</x:v>
      </x:c>
      <x:c r="H182" s="12" t="str">
        <x:v>API/DB/ADM 화면/Runtime log/ACK·Drift/Audit/Transaction ID</x:v>
      </x:c>
      <x:c r="I182" s="12" t="str">
        <x:v>WAS 2+·MariaDB; 외부 Provider는 Simulator 병행</x:v>
      </x:c>
    </x:row>
    <x:row r="183">
      <x:c r="A183" s="12" t="str">
        <x:v>CPF-QA-EXEC-383</x:v>
      </x:c>
      <x:c r="B183" s="12" t="str">
        <x:v>ADMRT</x:v>
      </x:c>
      <x:c r="C183" s="12" t="str">
        <x:v>WP16</x:v>
      </x:c>
      <x:c r="D183" s="12" t="str">
        <x:v>Cache — 부분 실패·Offline 복귀</x:v>
      </x:c>
      <x:c r="E183" s="12" t="str">
        <x:v>3개 대상 중 1개 Offline, Cache v1</x:v>
      </x:c>
      <x:c r="F183" s="12" t="str">
        <x:v>v2 적용 후 Online 2개 ACK 확인→Offline Instance 재접속</x:v>
      </x:c>
      <x:c r="G183" s="12" t="str">
        <x:v>초기 PARTIAL, 재접속 후 v2 Reconcile, 전체 성공 조기 판정 없음</x:v>
      </x:c>
      <x:c r="H183" s="12" t="str">
        <x:v>API/DB/ADM 화면/Runtime log/ACK·Drift/Audit/Transaction ID</x:v>
      </x:c>
      <x:c r="I183" s="12" t="str">
        <x:v>WAS 2+·MariaDB; 외부 Provider는 Simulator 병행</x:v>
      </x:c>
    </x:row>
    <x:row r="184">
      <x:c r="A184" s="12" t="str">
        <x:v>CPF-QA-EXEC-384</x:v>
      </x:c>
      <x:c r="B184" s="12" t="str">
        <x:v>ADMRT</x:v>
      </x:c>
      <x:c r="C184" s="12" t="str">
        <x:v>WP16</x:v>
      </x:c>
      <x:c r="D184" s="12" t="str">
        <x:v>Cache — 중복·역전·응답 유실</x:v>
      </x:c>
      <x:c r="E184" s="12" t="str">
        <x:v>Cache v2 적용 직후 응답 유실</x:v>
      </x:c>
      <x:c r="F184" s="12" t="str">
        <x:v>같은 operationId 재시도→v1 지연 Delivery→Controller/Consumer 재시작</x:v>
      </x:c>
      <x:c r="G184" s="12" t="str">
        <x:v>Side Effect 1회, v1 거부, 최종 v2 유지, 결과 조회 가능</x:v>
      </x:c>
      <x:c r="H184" s="12" t="str">
        <x:v>API/DB/ADM 화면/Runtime log/ACK·Drift/Audit/Transaction ID</x:v>
      </x:c>
      <x:c r="I184" s="12" t="str">
        <x:v>WAS 2+·MariaDB; 외부 Provider는 Simulator 병행</x:v>
      </x:c>
    </x:row>
    <x:row r="185">
      <x:c r="A185" s="12" t="str">
        <x:v>CPF-QA-EXEC-385</x:v>
      </x:c>
      <x:c r="B185" s="12" t="str">
        <x:v>ADMRT</x:v>
      </x:c>
      <x:c r="C185" s="12" t="str">
        <x:v>WP16</x:v>
      </x:c>
      <x:c r="D185" s="12" t="str">
        <x:v>Cache — 실패·Rollback·감사</x:v>
      </x:c>
      <x:c r="E185" s="12" t="str">
        <x:v>Cache v2가 Canary에서 오류 발생</x:v>
      </x:c>
      <x:c r="F185" s="12" t="str">
        <x:v>Wave 중단→Rollback/Forward Recovery→감사·알림·최종 상태 조회</x:v>
      </x:c>
      <x:c r="G185" s="12" t="str">
        <x:v>비정상 Wave 확산 0, Last Good 복원 또는 승인된 Forward Recovery, 실패 원인 보존</x:v>
      </x:c>
      <x:c r="H185" s="12" t="str">
        <x:v>API/DB/ADM 화면/Runtime log/ACK·Drift/Audit/Transaction ID</x:v>
      </x:c>
      <x:c r="I185" s="12" t="str">
        <x:v>WAS 2+·MariaDB; 외부 Provider는 Simulator 병행</x:v>
      </x:c>
    </x:row>
    <x:row r="186">
      <x:c r="A186" s="12" t="str">
        <x:v>CPF-QA-EXEC-386</x:v>
      </x:c>
      <x:c r="B186" s="12" t="str">
        <x:v>ADMRT</x:v>
      </x:c>
      <x:c r="C186" s="12" t="str">
        <x:v>WP16</x:v>
      </x:c>
      <x:c r="D186" s="12" t="str">
        <x:v>온라인 거래 — 정상 실시간 적용</x:v>
      </x:c>
      <x:c r="E186" s="12" t="str">
        <x:v>2개 Instance, 온라인 거래 v1 적용 상태</x:v>
      </x:c>
      <x:c r="F186" s="12" t="str">
        <x:v>ADM에서 대상 Preview→사유/승인→v2 적용→대상별 ACK/Actual 조회</x:v>
      </x:c>
      <x:c r="G186" s="12" t="str">
        <x:v>모든 대상 v2, 동일 Hash, Drift 0, 감사 전후값 기록</x:v>
      </x:c>
      <x:c r="H186" s="12" t="str">
        <x:v>API/DB/ADM 화면/Runtime log/ACK·Drift/Audit/Transaction ID</x:v>
      </x:c>
      <x:c r="I186" s="12" t="str">
        <x:v>WAS 2+·MariaDB; 외부 Provider는 Simulator 병행</x:v>
      </x:c>
    </x:row>
    <x:row r="187">
      <x:c r="A187" s="12" t="str">
        <x:v>CPF-QA-EXEC-387</x:v>
      </x:c>
      <x:c r="B187" s="12" t="str">
        <x:v>ADMRT</x:v>
      </x:c>
      <x:c r="C187" s="12" t="str">
        <x:v>WP16</x:v>
      </x:c>
      <x:c r="D187" s="12" t="str">
        <x:v>온라인 거래 — 부분 실패·Offline 복귀</x:v>
      </x:c>
      <x:c r="E187" s="12" t="str">
        <x:v>3개 대상 중 1개 Offline, 온라인 거래 v1</x:v>
      </x:c>
      <x:c r="F187" s="12" t="str">
        <x:v>v2 적용 후 Online 2개 ACK 확인→Offline Instance 재접속</x:v>
      </x:c>
      <x:c r="G187" s="12" t="str">
        <x:v>초기 PARTIAL, 재접속 후 v2 Reconcile, 전체 성공 조기 판정 없음</x:v>
      </x:c>
      <x:c r="H187" s="12" t="str">
        <x:v>API/DB/ADM 화면/Runtime log/ACK·Drift/Audit/Transaction ID</x:v>
      </x:c>
      <x:c r="I187" s="12" t="str">
        <x:v>WAS 2+·MariaDB; 외부 Provider는 Simulator 병행</x:v>
      </x:c>
    </x:row>
    <x:row r="188">
      <x:c r="A188" s="12" t="str">
        <x:v>CPF-QA-EXEC-388</x:v>
      </x:c>
      <x:c r="B188" s="12" t="str">
        <x:v>ADMRT</x:v>
      </x:c>
      <x:c r="C188" s="12" t="str">
        <x:v>WP16</x:v>
      </x:c>
      <x:c r="D188" s="12" t="str">
        <x:v>온라인 거래 — 중복·역전·응답 유실</x:v>
      </x:c>
      <x:c r="E188" s="12" t="str">
        <x:v>온라인 거래 v2 적용 직후 응답 유실</x:v>
      </x:c>
      <x:c r="F188" s="12" t="str">
        <x:v>같은 operationId 재시도→v1 지연 Delivery→Controller/Consumer 재시작</x:v>
      </x:c>
      <x:c r="G188" s="12" t="str">
        <x:v>Side Effect 1회, v1 거부, 최종 v2 유지, 결과 조회 가능</x:v>
      </x:c>
      <x:c r="H188" s="12" t="str">
        <x:v>API/DB/ADM 화면/Runtime log/ACK·Drift/Audit/Transaction ID</x:v>
      </x:c>
      <x:c r="I188" s="12" t="str">
        <x:v>WAS 2+·MariaDB; 외부 Provider는 Simulator 병행</x:v>
      </x:c>
    </x:row>
    <x:row r="189">
      <x:c r="A189" s="12" t="str">
        <x:v>CPF-QA-EXEC-389</x:v>
      </x:c>
      <x:c r="B189" s="12" t="str">
        <x:v>ADMRT</x:v>
      </x:c>
      <x:c r="C189" s="12" t="str">
        <x:v>WP16</x:v>
      </x:c>
      <x:c r="D189" s="12" t="str">
        <x:v>온라인 거래 — 실패·Rollback·감사</x:v>
      </x:c>
      <x:c r="E189" s="12" t="str">
        <x:v>온라인 거래 v2가 Canary에서 오류 발생</x:v>
      </x:c>
      <x:c r="F189" s="12" t="str">
        <x:v>Wave 중단→Rollback/Forward Recovery→감사·알림·최종 상태 조회</x:v>
      </x:c>
      <x:c r="G189" s="12" t="str">
        <x:v>비정상 Wave 확산 0, Last Good 복원 또는 승인된 Forward Recovery, 실패 원인 보존</x:v>
      </x:c>
      <x:c r="H189" s="12" t="str">
        <x:v>API/DB/ADM 화면/Runtime log/ACK·Drift/Audit/Transaction ID</x:v>
      </x:c>
      <x:c r="I189" s="12" t="str">
        <x:v>WAS 2+·MariaDB; 외부 Provider는 Simulator 병행</x:v>
      </x:c>
    </x:row>
    <x:row r="190">
      <x:c r="A190" s="12" t="str">
        <x:v>CPF-QA-EXEC-390</x:v>
      </x:c>
      <x:c r="B190" s="12" t="str">
        <x:v>ADMRT</x:v>
      </x:c>
      <x:c r="C190" s="12" t="str">
        <x:v>WP16</x:v>
      </x:c>
      <x:c r="D190" s="12" t="str">
        <x:v>Local·Remote Service Call — 정상 실시간 적용</x:v>
      </x:c>
      <x:c r="E190" s="12" t="str">
        <x:v>2개 Instance, Local·Remote Service Call v1 적용 상태</x:v>
      </x:c>
      <x:c r="F190" s="12" t="str">
        <x:v>ADM에서 대상 Preview→사유/승인→v2 적용→대상별 ACK/Actual 조회</x:v>
      </x:c>
      <x:c r="G190" s="12" t="str">
        <x:v>모든 대상 v2, 동일 Hash, Drift 0, 감사 전후값 기록</x:v>
      </x:c>
      <x:c r="H190" s="12" t="str">
        <x:v>API/DB/ADM 화면/Runtime log/ACK·Drift/Audit/Transaction ID</x:v>
      </x:c>
      <x:c r="I190" s="12" t="str">
        <x:v>WAS 2+·MariaDB; 외부 Provider는 Simulator 병행</x:v>
      </x:c>
    </x:row>
    <x:row r="191">
      <x:c r="A191" s="12" t="str">
        <x:v>CPF-QA-EXEC-391</x:v>
      </x:c>
      <x:c r="B191" s="12" t="str">
        <x:v>ADMRT</x:v>
      </x:c>
      <x:c r="C191" s="12" t="str">
        <x:v>WP16</x:v>
      </x:c>
      <x:c r="D191" s="12" t="str">
        <x:v>Local·Remote Service Call — 부분 실패·Offline 복귀</x:v>
      </x:c>
      <x:c r="E191" s="12" t="str">
        <x:v>3개 대상 중 1개 Offline, Local·Remote Service Call v1</x:v>
      </x:c>
      <x:c r="F191" s="12" t="str">
        <x:v>v2 적용 후 Online 2개 ACK 확인→Offline Instance 재접속</x:v>
      </x:c>
      <x:c r="G191" s="12" t="str">
        <x:v>초기 PARTIAL, 재접속 후 v2 Reconcile, 전체 성공 조기 판정 없음</x:v>
      </x:c>
      <x:c r="H191" s="12" t="str">
        <x:v>API/DB/ADM 화면/Runtime log/ACK·Drift/Audit/Transaction ID</x:v>
      </x:c>
      <x:c r="I191" s="12" t="str">
        <x:v>WAS 2+·MariaDB; 외부 Provider는 Simulator 병행</x:v>
      </x:c>
    </x:row>
    <x:row r="192">
      <x:c r="A192" s="12" t="str">
        <x:v>CPF-QA-EXEC-392</x:v>
      </x:c>
      <x:c r="B192" s="12" t="str">
        <x:v>ADMRT</x:v>
      </x:c>
      <x:c r="C192" s="12" t="str">
        <x:v>WP16</x:v>
      </x:c>
      <x:c r="D192" s="12" t="str">
        <x:v>Local·Remote Service Call — 중복·역전·응답 유실</x:v>
      </x:c>
      <x:c r="E192" s="12" t="str">
        <x:v>Local·Remote Service Call v2 적용 직후 응답 유실</x:v>
      </x:c>
      <x:c r="F192" s="12" t="str">
        <x:v>같은 operationId 재시도→v1 지연 Delivery→Controller/Consumer 재시작</x:v>
      </x:c>
      <x:c r="G192" s="12" t="str">
        <x:v>Side Effect 1회, v1 거부, 최종 v2 유지, 결과 조회 가능</x:v>
      </x:c>
      <x:c r="H192" s="12" t="str">
        <x:v>API/DB/ADM 화면/Runtime log/ACK·Drift/Audit/Transaction ID</x:v>
      </x:c>
      <x:c r="I192" s="12" t="str">
        <x:v>WAS 2+·MariaDB; 외부 Provider는 Simulator 병행</x:v>
      </x:c>
    </x:row>
    <x:row r="193">
      <x:c r="A193" s="12" t="str">
        <x:v>CPF-QA-EXEC-393</x:v>
      </x:c>
      <x:c r="B193" s="12" t="str">
        <x:v>ADMRT</x:v>
      </x:c>
      <x:c r="C193" s="12" t="str">
        <x:v>WP16</x:v>
      </x:c>
      <x:c r="D193" s="12" t="str">
        <x:v>Local·Remote Service Call — 실패·Rollback·감사</x:v>
      </x:c>
      <x:c r="E193" s="12" t="str">
        <x:v>Local·Remote Service Call v2가 Canary에서 오류 발생</x:v>
      </x:c>
      <x:c r="F193" s="12" t="str">
        <x:v>Wave 중단→Rollback/Forward Recovery→감사·알림·최종 상태 조회</x:v>
      </x:c>
      <x:c r="G193" s="12" t="str">
        <x:v>비정상 Wave 확산 0, Last Good 복원 또는 승인된 Forward Recovery, 실패 원인 보존</x:v>
      </x:c>
      <x:c r="H193" s="12" t="str">
        <x:v>API/DB/ADM 화면/Runtime log/ACK·Drift/Audit/Transaction ID</x:v>
      </x:c>
      <x:c r="I193" s="12" t="str">
        <x:v>WAS 2+·MariaDB; 외부 Provider는 Simulator 병행</x:v>
      </x:c>
    </x:row>
    <x:row r="194">
      <x:c r="A194" s="12" t="str">
        <x:v>CPF-QA-EXEC-394</x:v>
      </x:c>
      <x:c r="B194" s="12" t="str">
        <x:v>ADMRT</x:v>
      </x:c>
      <x:c r="C194" s="12" t="str">
        <x:v>WP16</x:v>
      </x:c>
      <x:c r="D194" s="12" t="str">
        <x:v>Gateway — 정상 실시간 적용</x:v>
      </x:c>
      <x:c r="E194" s="12" t="str">
        <x:v>2개 Instance, Gateway v1 적용 상태</x:v>
      </x:c>
      <x:c r="F194" s="12" t="str">
        <x:v>ADM에서 대상 Preview→사유/승인→v2 적용→대상별 ACK/Actual 조회</x:v>
      </x:c>
      <x:c r="G194" s="12" t="str">
        <x:v>모든 대상 v2, 동일 Hash, Drift 0, 감사 전후값 기록</x:v>
      </x:c>
      <x:c r="H194" s="12" t="str">
        <x:v>API/DB/ADM 화면/Runtime log/ACK·Drift/Audit/Transaction ID</x:v>
      </x:c>
      <x:c r="I194" s="12" t="str">
        <x:v>WAS 2+·MariaDB; 외부 Provider는 Simulator 병행</x:v>
      </x:c>
    </x:row>
    <x:row r="195">
      <x:c r="A195" s="12" t="str">
        <x:v>CPF-QA-EXEC-395</x:v>
      </x:c>
      <x:c r="B195" s="12" t="str">
        <x:v>ADMRT</x:v>
      </x:c>
      <x:c r="C195" s="12" t="str">
        <x:v>WP16</x:v>
      </x:c>
      <x:c r="D195" s="12" t="str">
        <x:v>Gateway — 부분 실패·Offline 복귀</x:v>
      </x:c>
      <x:c r="E195" s="12" t="str">
        <x:v>3개 대상 중 1개 Offline, Gateway v1</x:v>
      </x:c>
      <x:c r="F195" s="12" t="str">
        <x:v>v2 적용 후 Online 2개 ACK 확인→Offline Instance 재접속</x:v>
      </x:c>
      <x:c r="G195" s="12" t="str">
        <x:v>초기 PARTIAL, 재접속 후 v2 Reconcile, 전체 성공 조기 판정 없음</x:v>
      </x:c>
      <x:c r="H195" s="12" t="str">
        <x:v>API/DB/ADM 화면/Runtime log/ACK·Drift/Audit/Transaction ID</x:v>
      </x:c>
      <x:c r="I195" s="12" t="str">
        <x:v>WAS 2+·MariaDB; 외부 Provider는 Simulator 병행</x:v>
      </x:c>
    </x:row>
    <x:row r="196">
      <x:c r="A196" s="12" t="str">
        <x:v>CPF-QA-EXEC-396</x:v>
      </x:c>
      <x:c r="B196" s="12" t="str">
        <x:v>ADMRT</x:v>
      </x:c>
      <x:c r="C196" s="12" t="str">
        <x:v>WP16</x:v>
      </x:c>
      <x:c r="D196" s="12" t="str">
        <x:v>Gateway — 중복·역전·응답 유실</x:v>
      </x:c>
      <x:c r="E196" s="12" t="str">
        <x:v>Gateway v2 적용 직후 응답 유실</x:v>
      </x:c>
      <x:c r="F196" s="12" t="str">
        <x:v>같은 operationId 재시도→v1 지연 Delivery→Controller/Consumer 재시작</x:v>
      </x:c>
      <x:c r="G196" s="12" t="str">
        <x:v>Side Effect 1회, v1 거부, 최종 v2 유지, 결과 조회 가능</x:v>
      </x:c>
      <x:c r="H196" s="12" t="str">
        <x:v>API/DB/ADM 화면/Runtime log/ACK·Drift/Audit/Transaction ID</x:v>
      </x:c>
      <x:c r="I196" s="12" t="str">
        <x:v>WAS 2+·MariaDB; 외부 Provider는 Simulator 병행</x:v>
      </x:c>
    </x:row>
    <x:row r="197">
      <x:c r="A197" s="12" t="str">
        <x:v>CPF-QA-EXEC-397</x:v>
      </x:c>
      <x:c r="B197" s="12" t="str">
        <x:v>ADMRT</x:v>
      </x:c>
      <x:c r="C197" s="12" t="str">
        <x:v>WP16</x:v>
      </x:c>
      <x:c r="D197" s="12" t="str">
        <x:v>Gateway — 실패·Rollback·감사</x:v>
      </x:c>
      <x:c r="E197" s="12" t="str">
        <x:v>Gateway v2가 Canary에서 오류 발생</x:v>
      </x:c>
      <x:c r="F197" s="12" t="str">
        <x:v>Wave 중단→Rollback/Forward Recovery→감사·알림·최종 상태 조회</x:v>
      </x:c>
      <x:c r="G197" s="12" t="str">
        <x:v>비정상 Wave 확산 0, Last Good 복원 또는 승인된 Forward Recovery, 실패 원인 보존</x:v>
      </x:c>
      <x:c r="H197" s="12" t="str">
        <x:v>API/DB/ADM 화면/Runtime log/ACK·Drift/Audit/Transaction ID</x:v>
      </x:c>
      <x:c r="I197" s="12" t="str">
        <x:v>WAS 2+·MariaDB; 외부 Provider는 Simulator 병행</x:v>
      </x:c>
    </x:row>
    <x:row r="198">
      <x:c r="A198" s="12" t="str">
        <x:v>CPF-QA-EXEC-398</x:v>
      </x:c>
      <x:c r="B198" s="12" t="str">
        <x:v>ADMRT</x:v>
      </x:c>
      <x:c r="C198" s="12" t="str">
        <x:v>WP16</x:v>
      </x:c>
      <x:c r="D198" s="12" t="str">
        <x:v>로그·추적 — 정상 실시간 적용</x:v>
      </x:c>
      <x:c r="E198" s="12" t="str">
        <x:v>2개 Instance, 로그·추적 v1 적용 상태</x:v>
      </x:c>
      <x:c r="F198" s="12" t="str">
        <x:v>ADM에서 대상 Preview→사유/승인→v2 적용→대상별 ACK/Actual 조회</x:v>
      </x:c>
      <x:c r="G198" s="12" t="str">
        <x:v>모든 대상 v2, 동일 Hash, Drift 0, 감사 전후값 기록</x:v>
      </x:c>
      <x:c r="H198" s="12" t="str">
        <x:v>API/DB/ADM 화면/Runtime log/ACK·Drift/Audit/Transaction ID</x:v>
      </x:c>
      <x:c r="I198" s="12" t="str">
        <x:v>WAS 2+·MariaDB; 외부 Provider는 Simulator 병행</x:v>
      </x:c>
    </x:row>
    <x:row r="199">
      <x:c r="A199" s="12" t="str">
        <x:v>CPF-QA-EXEC-399</x:v>
      </x:c>
      <x:c r="B199" s="12" t="str">
        <x:v>ADMRT</x:v>
      </x:c>
      <x:c r="C199" s="12" t="str">
        <x:v>WP16</x:v>
      </x:c>
      <x:c r="D199" s="12" t="str">
        <x:v>로그·추적 — 부분 실패·Offline 복귀</x:v>
      </x:c>
      <x:c r="E199" s="12" t="str">
        <x:v>3개 대상 중 1개 Offline, 로그·추적 v1</x:v>
      </x:c>
      <x:c r="F199" s="12" t="str">
        <x:v>v2 적용 후 Online 2개 ACK 확인→Offline Instance 재접속</x:v>
      </x:c>
      <x:c r="G199" s="12" t="str">
        <x:v>초기 PARTIAL, 재접속 후 v2 Reconcile, 전체 성공 조기 판정 없음</x:v>
      </x:c>
      <x:c r="H199" s="12" t="str">
        <x:v>API/DB/ADM 화면/Runtime log/ACK·Drift/Audit/Transaction ID</x:v>
      </x:c>
      <x:c r="I199" s="12" t="str">
        <x:v>WAS 2+·MariaDB; 외부 Provider는 Simulator 병행</x:v>
      </x:c>
    </x:row>
    <x:row r="200">
      <x:c r="A200" s="12" t="str">
        <x:v>CPF-QA-EXEC-400</x:v>
      </x:c>
      <x:c r="B200" s="12" t="str">
        <x:v>ADMRT</x:v>
      </x:c>
      <x:c r="C200" s="12" t="str">
        <x:v>WP16</x:v>
      </x:c>
      <x:c r="D200" s="12" t="str">
        <x:v>로그·추적 — 중복·역전·응답 유실</x:v>
      </x:c>
      <x:c r="E200" s="12" t="str">
        <x:v>로그·추적 v2 적용 직후 응답 유실</x:v>
      </x:c>
      <x:c r="F200" s="12" t="str">
        <x:v>같은 operationId 재시도→v1 지연 Delivery→Controller/Consumer 재시작</x:v>
      </x:c>
      <x:c r="G200" s="12" t="str">
        <x:v>Side Effect 1회, v1 거부, 최종 v2 유지, 결과 조회 가능</x:v>
      </x:c>
      <x:c r="H200" s="12" t="str">
        <x:v>API/DB/ADM 화면/Runtime log/ACK·Drift/Audit/Transaction ID</x:v>
      </x:c>
      <x:c r="I200" s="12" t="str">
        <x:v>WAS 2+·MariaDB; 외부 Provider는 Simulator 병행</x:v>
      </x:c>
    </x:row>
    <x:row r="201">
      <x:c r="A201" s="12" t="str">
        <x:v>CPF-QA-EXEC-401</x:v>
      </x:c>
      <x:c r="B201" s="12" t="str">
        <x:v>ADMRT</x:v>
      </x:c>
      <x:c r="C201" s="12" t="str">
        <x:v>WP16</x:v>
      </x:c>
      <x:c r="D201" s="12" t="str">
        <x:v>로그·추적 — 실패·Rollback·감사</x:v>
      </x:c>
      <x:c r="E201" s="12" t="str">
        <x:v>로그·추적 v2가 Canary에서 오류 발생</x:v>
      </x:c>
      <x:c r="F201" s="12" t="str">
        <x:v>Wave 중단→Rollback/Forward Recovery→감사·알림·최종 상태 조회</x:v>
      </x:c>
      <x:c r="G201" s="12" t="str">
        <x:v>비정상 Wave 확산 0, Last Good 복원 또는 승인된 Forward Recovery, 실패 원인 보존</x:v>
      </x:c>
      <x:c r="H201" s="12" t="str">
        <x:v>API/DB/ADM 화면/Runtime log/ACK·Drift/Audit/Transaction ID</x:v>
      </x:c>
      <x:c r="I201" s="12" t="str">
        <x:v>WAS 2+·MariaDB; 외부 Provider는 Simulator 병행</x:v>
      </x:c>
    </x:row>
    <x:row r="202">
      <x:c r="A202" s="12" t="str">
        <x:v>CPF-QA-EXEC-402</x:v>
      </x:c>
      <x:c r="B202" s="12" t="str">
        <x:v>ADMRT</x:v>
      </x:c>
      <x:c r="C202" s="12" t="str">
        <x:v>WP16</x:v>
      </x:c>
      <x:c r="D202" s="12" t="str">
        <x:v>Batch·Scheduler·Worker·Center-Cut·Agent — 정상 실시간 적용</x:v>
      </x:c>
      <x:c r="E202" s="12" t="str">
        <x:v>2개 Instance, Batch·Scheduler·Worker·Center-Cut·Agent v1 적용 상태</x:v>
      </x:c>
      <x:c r="F202" s="12" t="str">
        <x:v>ADM에서 대상 Preview→사유/승인→v2 적용→대상별 ACK/Actual 조회</x:v>
      </x:c>
      <x:c r="G202" s="12" t="str">
        <x:v>모든 대상 v2, 동일 Hash, Drift 0, 감사 전후값 기록</x:v>
      </x:c>
      <x:c r="H202" s="12" t="str">
        <x:v>API/DB/ADM 화면/Runtime log/ACK·Drift/Audit/Transaction ID</x:v>
      </x:c>
      <x:c r="I202" s="12" t="str">
        <x:v>WAS 2+·MariaDB; 외부 Provider는 Simulator 병행</x:v>
      </x:c>
    </x:row>
    <x:row r="203">
      <x:c r="A203" s="12" t="str">
        <x:v>CPF-QA-EXEC-403</x:v>
      </x:c>
      <x:c r="B203" s="12" t="str">
        <x:v>ADMRT</x:v>
      </x:c>
      <x:c r="C203" s="12" t="str">
        <x:v>WP16</x:v>
      </x:c>
      <x:c r="D203" s="12" t="str">
        <x:v>Batch·Scheduler·Worker·Center-Cut·Agent — 부분 실패·Offline 복귀</x:v>
      </x:c>
      <x:c r="E203" s="12" t="str">
        <x:v>3개 대상 중 1개 Offline, Batch·Scheduler·Worker·Center-Cut·Agent v1</x:v>
      </x:c>
      <x:c r="F203" s="12" t="str">
        <x:v>v2 적용 후 Online 2개 ACK 확인→Offline Instance 재접속</x:v>
      </x:c>
      <x:c r="G203" s="12" t="str">
        <x:v>초기 PARTIAL, 재접속 후 v2 Reconcile, 전체 성공 조기 판정 없음</x:v>
      </x:c>
      <x:c r="H203" s="12" t="str">
        <x:v>API/DB/ADM 화면/Runtime log/ACK·Drift/Audit/Transaction ID</x:v>
      </x:c>
      <x:c r="I203" s="12" t="str">
        <x:v>WAS 2+·MariaDB; 외부 Provider는 Simulator 병행</x:v>
      </x:c>
    </x:row>
    <x:row r="204">
      <x:c r="A204" s="12" t="str">
        <x:v>CPF-QA-EXEC-404</x:v>
      </x:c>
      <x:c r="B204" s="12" t="str">
        <x:v>ADMRT</x:v>
      </x:c>
      <x:c r="C204" s="12" t="str">
        <x:v>WP16</x:v>
      </x:c>
      <x:c r="D204" s="12" t="str">
        <x:v>Batch·Scheduler·Worker·Center-Cut·Agent — 중복·역전·응답 유실</x:v>
      </x:c>
      <x:c r="E204" s="12" t="str">
        <x:v>Batch·Scheduler·Worker·Center-Cut·Agent v2 적용 직후 응답 유실</x:v>
      </x:c>
      <x:c r="F204" s="12" t="str">
        <x:v>같은 operationId 재시도→v1 지연 Delivery→Controller/Consumer 재시작</x:v>
      </x:c>
      <x:c r="G204" s="12" t="str">
        <x:v>Side Effect 1회, v1 거부, 최종 v2 유지, 결과 조회 가능</x:v>
      </x:c>
      <x:c r="H204" s="12" t="str">
        <x:v>API/DB/ADM 화면/Runtime log/ACK·Drift/Audit/Transaction ID</x:v>
      </x:c>
      <x:c r="I204" s="12" t="str">
        <x:v>WAS 2+·MariaDB; 외부 Provider는 Simulator 병행</x:v>
      </x:c>
    </x:row>
    <x:row r="205">
      <x:c r="A205" s="12" t="str">
        <x:v>CPF-QA-EXEC-405</x:v>
      </x:c>
      <x:c r="B205" s="12" t="str">
        <x:v>ADMRT</x:v>
      </x:c>
      <x:c r="C205" s="12" t="str">
        <x:v>WP16</x:v>
      </x:c>
      <x:c r="D205" s="12" t="str">
        <x:v>Batch·Scheduler·Worker·Center-Cut·Agent — 실패·Rollback·감사</x:v>
      </x:c>
      <x:c r="E205" s="12" t="str">
        <x:v>Batch·Scheduler·Worker·Center-Cut·Agent v2가 Canary에서 오류 발생</x:v>
      </x:c>
      <x:c r="F205" s="12" t="str">
        <x:v>Wave 중단→Rollback/Forward Recovery→감사·알림·최종 상태 조회</x:v>
      </x:c>
      <x:c r="G205" s="12" t="str">
        <x:v>비정상 Wave 확산 0, Last Good 복원 또는 승인된 Forward Recovery, 실패 원인 보존</x:v>
      </x:c>
      <x:c r="H205" s="12" t="str">
        <x:v>API/DB/ADM 화면/Runtime log/ACK·Drift/Audit/Transaction ID</x:v>
      </x:c>
      <x:c r="I205" s="12" t="str">
        <x:v>WAS 2+·MariaDB; 외부 Provider는 Simulator 병행</x:v>
      </x:c>
    </x:row>
    <x:row r="206">
      <x:c r="A206" s="12" t="str">
        <x:v>CPF-QA-EXEC-406</x:v>
      </x:c>
      <x:c r="B206" s="12" t="str">
        <x:v>ADMRT</x:v>
      </x:c>
      <x:c r="C206" s="12" t="str">
        <x:v>WP16</x:v>
      </x:c>
      <x:c r="D206" s="12" t="str">
        <x:v>Security Runtime Policy — 정상 실시간 적용</x:v>
      </x:c>
      <x:c r="E206" s="12" t="str">
        <x:v>2개 Instance, Security Runtime Policy v1 적용 상태</x:v>
      </x:c>
      <x:c r="F206" s="12" t="str">
        <x:v>ADM에서 대상 Preview→사유/승인→v2 적용→대상별 ACK/Actual 조회</x:v>
      </x:c>
      <x:c r="G206" s="12" t="str">
        <x:v>모든 대상 v2, 동일 Hash, Drift 0, 감사 전후값 기록</x:v>
      </x:c>
      <x:c r="H206" s="12" t="str">
        <x:v>API/DB/ADM 화면/Runtime log/ACK·Drift/Audit/Transaction ID</x:v>
      </x:c>
      <x:c r="I206" s="12" t="str">
        <x:v>WAS 2+·MariaDB; 외부 Provider는 Simulator 병행</x:v>
      </x:c>
    </x:row>
    <x:row r="207">
      <x:c r="A207" s="12" t="str">
        <x:v>CPF-QA-EXEC-407</x:v>
      </x:c>
      <x:c r="B207" s="12" t="str">
        <x:v>ADMRT</x:v>
      </x:c>
      <x:c r="C207" s="12" t="str">
        <x:v>WP16</x:v>
      </x:c>
      <x:c r="D207" s="12" t="str">
        <x:v>Security Runtime Policy — 부분 실패·Offline 복귀</x:v>
      </x:c>
      <x:c r="E207" s="12" t="str">
        <x:v>3개 대상 중 1개 Offline, Security Runtime Policy v1</x:v>
      </x:c>
      <x:c r="F207" s="12" t="str">
        <x:v>v2 적용 후 Online 2개 ACK 확인→Offline Instance 재접속</x:v>
      </x:c>
      <x:c r="G207" s="12" t="str">
        <x:v>초기 PARTIAL, 재접속 후 v2 Reconcile, 전체 성공 조기 판정 없음</x:v>
      </x:c>
      <x:c r="H207" s="12" t="str">
        <x:v>API/DB/ADM 화면/Runtime log/ACK·Drift/Audit/Transaction ID</x:v>
      </x:c>
      <x:c r="I207" s="12" t="str">
        <x:v>WAS 2+·MariaDB; 외부 Provider는 Simulator 병행</x:v>
      </x:c>
    </x:row>
    <x:row r="208">
      <x:c r="A208" s="12" t="str">
        <x:v>CPF-QA-EXEC-408</x:v>
      </x:c>
      <x:c r="B208" s="12" t="str">
        <x:v>ADMRT</x:v>
      </x:c>
      <x:c r="C208" s="12" t="str">
        <x:v>WP16</x:v>
      </x:c>
      <x:c r="D208" s="12" t="str">
        <x:v>Security Runtime Policy — 중복·역전·응답 유실</x:v>
      </x:c>
      <x:c r="E208" s="12" t="str">
        <x:v>Security Runtime Policy v2 적용 직후 응답 유실</x:v>
      </x:c>
      <x:c r="F208" s="12" t="str">
        <x:v>같은 operationId 재시도→v1 지연 Delivery→Controller/Consumer 재시작</x:v>
      </x:c>
      <x:c r="G208" s="12" t="str">
        <x:v>Side Effect 1회, v1 거부, 최종 v2 유지, 결과 조회 가능</x:v>
      </x:c>
      <x:c r="H208" s="12" t="str">
        <x:v>API/DB/ADM 화면/Runtime log/ACK·Drift/Audit/Transaction ID</x:v>
      </x:c>
      <x:c r="I208" s="12" t="str">
        <x:v>WAS 2+·MariaDB; 외부 Provider는 Simulator 병행</x:v>
      </x:c>
    </x:row>
    <x:row r="209">
      <x:c r="A209" s="12" t="str">
        <x:v>CPF-QA-EXEC-409</x:v>
      </x:c>
      <x:c r="B209" s="12" t="str">
        <x:v>ADMRT</x:v>
      </x:c>
      <x:c r="C209" s="12" t="str">
        <x:v>WP16</x:v>
      </x:c>
      <x:c r="D209" s="12" t="str">
        <x:v>Security Runtime Policy — 실패·Rollback·감사</x:v>
      </x:c>
      <x:c r="E209" s="12" t="str">
        <x:v>Security Runtime Policy v2가 Canary에서 오류 발생</x:v>
      </x:c>
      <x:c r="F209" s="12" t="str">
        <x:v>Wave 중단→Rollback/Forward Recovery→감사·알림·최종 상태 조회</x:v>
      </x:c>
      <x:c r="G209" s="12" t="str">
        <x:v>비정상 Wave 확산 0, Last Good 복원 또는 승인된 Forward Recovery, 실패 원인 보존</x:v>
      </x:c>
      <x:c r="H209" s="12" t="str">
        <x:v>API/DB/ADM 화면/Runtime log/ACK·Drift/Audit/Transaction ID</x:v>
      </x:c>
      <x:c r="I209" s="12" t="str">
        <x:v>WAS 2+·MariaDB; 외부 Provider는 Simulator 병행</x:v>
      </x:c>
    </x:row>
    <x:row r="210">
      <x:c r="A210" s="12" t="str">
        <x:v>CPF-QA-EXEC-410</x:v>
      </x:c>
      <x:c r="B210" s="12" t="str">
        <x:v>ADMRT</x:v>
      </x:c>
      <x:c r="C210" s="12" t="str">
        <x:v>WP16</x:v>
      </x:c>
      <x:c r="D210" s="12" t="str">
        <x:v>외부연계·Messaging·File — 정상 실시간 적용</x:v>
      </x:c>
      <x:c r="E210" s="12" t="str">
        <x:v>2개 Instance, 외부연계·Messaging·File v1 적용 상태</x:v>
      </x:c>
      <x:c r="F210" s="12" t="str">
        <x:v>ADM에서 대상 Preview→사유/승인→v2 적용→대상별 ACK/Actual 조회</x:v>
      </x:c>
      <x:c r="G210" s="12" t="str">
        <x:v>모든 대상 v2, 동일 Hash, Drift 0, 감사 전후값 기록</x:v>
      </x:c>
      <x:c r="H210" s="12" t="str">
        <x:v>API/DB/ADM 화면/Runtime log/ACK·Drift/Audit/Transaction ID</x:v>
      </x:c>
      <x:c r="I210" s="12" t="str">
        <x:v>WAS 2+·MariaDB; 외부 Provider는 Simulator 병행</x:v>
      </x:c>
    </x:row>
    <x:row r="211">
      <x:c r="A211" s="12" t="str">
        <x:v>CPF-QA-EXEC-411</x:v>
      </x:c>
      <x:c r="B211" s="12" t="str">
        <x:v>ADMRT</x:v>
      </x:c>
      <x:c r="C211" s="12" t="str">
        <x:v>WP16</x:v>
      </x:c>
      <x:c r="D211" s="12" t="str">
        <x:v>외부연계·Messaging·File — 부분 실패·Offline 복귀</x:v>
      </x:c>
      <x:c r="E211" s="12" t="str">
        <x:v>3개 대상 중 1개 Offline, 외부연계·Messaging·File v1</x:v>
      </x:c>
      <x:c r="F211" s="12" t="str">
        <x:v>v2 적용 후 Online 2개 ACK 확인→Offline Instance 재접속</x:v>
      </x:c>
      <x:c r="G211" s="12" t="str">
        <x:v>초기 PARTIAL, 재접속 후 v2 Reconcile, 전체 성공 조기 판정 없음</x:v>
      </x:c>
      <x:c r="H211" s="12" t="str">
        <x:v>API/DB/ADM 화면/Runtime log/ACK·Drift/Audit/Transaction ID</x:v>
      </x:c>
      <x:c r="I211" s="12" t="str">
        <x:v>WAS 2+·MariaDB; 외부 Provider는 Simulator 병행</x:v>
      </x:c>
    </x:row>
    <x:row r="212">
      <x:c r="A212" s="12" t="str">
        <x:v>CPF-QA-EXEC-412</x:v>
      </x:c>
      <x:c r="B212" s="12" t="str">
        <x:v>ADMRT</x:v>
      </x:c>
      <x:c r="C212" s="12" t="str">
        <x:v>WP16</x:v>
      </x:c>
      <x:c r="D212" s="12" t="str">
        <x:v>외부연계·Messaging·File — 중복·역전·응답 유실</x:v>
      </x:c>
      <x:c r="E212" s="12" t="str">
        <x:v>외부연계·Messaging·File v2 적용 직후 응답 유실</x:v>
      </x:c>
      <x:c r="F212" s="12" t="str">
        <x:v>같은 operationId 재시도→v1 지연 Delivery→Controller/Consumer 재시작</x:v>
      </x:c>
      <x:c r="G212" s="12" t="str">
        <x:v>Side Effect 1회, v1 거부, 최종 v2 유지, 결과 조회 가능</x:v>
      </x:c>
      <x:c r="H212" s="12" t="str">
        <x:v>API/DB/ADM 화면/Runtime log/ACK·Drift/Audit/Transaction ID</x:v>
      </x:c>
      <x:c r="I212" s="12" t="str">
        <x:v>WAS 2+·MariaDB; 외부 Provider는 Simulator 병행</x:v>
      </x:c>
    </x:row>
    <x:row r="213">
      <x:c r="A213" s="12" t="str">
        <x:v>CPF-QA-EXEC-413</x:v>
      </x:c>
      <x:c r="B213" s="12" t="str">
        <x:v>ADMRT</x:v>
      </x:c>
      <x:c r="C213" s="12" t="str">
        <x:v>WP16</x:v>
      </x:c>
      <x:c r="D213" s="12" t="str">
        <x:v>외부연계·Messaging·File — 실패·Rollback·감사</x:v>
      </x:c>
      <x:c r="E213" s="12" t="str">
        <x:v>외부연계·Messaging·File v2가 Canary에서 오류 발생</x:v>
      </x:c>
      <x:c r="F213" s="12" t="str">
        <x:v>Wave 중단→Rollback/Forward Recovery→감사·알림·최종 상태 조회</x:v>
      </x:c>
      <x:c r="G213" s="12" t="str">
        <x:v>비정상 Wave 확산 0, Last Good 복원 또는 승인된 Forward Recovery, 실패 원인 보존</x:v>
      </x:c>
      <x:c r="H213" s="12" t="str">
        <x:v>API/DB/ADM 화면/Runtime log/ACK·Drift/Audit/Transaction ID</x:v>
      </x:c>
      <x:c r="I213" s="12" t="str">
        <x:v>WAS 2+·MariaDB; 외부 Provider는 Simulator 병행</x:v>
      </x:c>
    </x:row>
    <x:row r="214">
      <x:c r="A214" s="12" t="str">
        <x:v>CPF-QA-EXEC-414</x:v>
      </x:c>
      <x:c r="B214" s="12" t="str">
        <x:v>ADMRT</x:v>
      </x:c>
      <x:c r="C214" s="12" t="str">
        <x:v>WP16</x:v>
      </x:c>
      <x:c r="D214" s="12" t="str">
        <x:v>인스턴스·그룹 관리 — 정상 실시간 적용</x:v>
      </x:c>
      <x:c r="E214" s="12" t="str">
        <x:v>2개 Instance, 인스턴스·그룹 관리 v1 적용 상태</x:v>
      </x:c>
      <x:c r="F214" s="12" t="str">
        <x:v>ADM에서 대상 Preview→사유/승인→v2 적용→대상별 ACK/Actual 조회</x:v>
      </x:c>
      <x:c r="G214" s="12" t="str">
        <x:v>모든 대상 v2, 동일 Hash, Drift 0, 감사 전후값 기록</x:v>
      </x:c>
      <x:c r="H214" s="12" t="str">
        <x:v>API/DB/ADM 화면/Runtime log/ACK·Drift/Audit/Transaction ID</x:v>
      </x:c>
      <x:c r="I214" s="12" t="str">
        <x:v>WAS 2+·MariaDB; 외부 Provider는 Simulator 병행</x:v>
      </x:c>
    </x:row>
    <x:row r="215">
      <x:c r="A215" s="12" t="str">
        <x:v>CPF-QA-EXEC-415</x:v>
      </x:c>
      <x:c r="B215" s="12" t="str">
        <x:v>ADMRT</x:v>
      </x:c>
      <x:c r="C215" s="12" t="str">
        <x:v>WP16</x:v>
      </x:c>
      <x:c r="D215" s="12" t="str">
        <x:v>인스턴스·그룹 관리 — 부분 실패·Offline 복귀</x:v>
      </x:c>
      <x:c r="E215" s="12" t="str">
        <x:v>3개 대상 중 1개 Offline, 인스턴스·그룹 관리 v1</x:v>
      </x:c>
      <x:c r="F215" s="12" t="str">
        <x:v>v2 적용 후 Online 2개 ACK 확인→Offline Instance 재접속</x:v>
      </x:c>
      <x:c r="G215" s="12" t="str">
        <x:v>초기 PARTIAL, 재접속 후 v2 Reconcile, 전체 성공 조기 판정 없음</x:v>
      </x:c>
      <x:c r="H215" s="12" t="str">
        <x:v>API/DB/ADM 화면/Runtime log/ACK·Drift/Audit/Transaction ID</x:v>
      </x:c>
      <x:c r="I215" s="12" t="str">
        <x:v>WAS 2+·MariaDB; 외부 Provider는 Simulator 병행</x:v>
      </x:c>
    </x:row>
    <x:row r="216">
      <x:c r="A216" s="12" t="str">
        <x:v>CPF-QA-EXEC-416</x:v>
      </x:c>
      <x:c r="B216" s="12" t="str">
        <x:v>ADMRT</x:v>
      </x:c>
      <x:c r="C216" s="12" t="str">
        <x:v>WP16</x:v>
      </x:c>
      <x:c r="D216" s="12" t="str">
        <x:v>인스턴스·그룹 관리 — 중복·역전·응답 유실</x:v>
      </x:c>
      <x:c r="E216" s="12" t="str">
        <x:v>인스턴스·그룹 관리 v2 적용 직후 응답 유실</x:v>
      </x:c>
      <x:c r="F216" s="12" t="str">
        <x:v>같은 operationId 재시도→v1 지연 Delivery→Controller/Consumer 재시작</x:v>
      </x:c>
      <x:c r="G216" s="12" t="str">
        <x:v>Side Effect 1회, v1 거부, 최종 v2 유지, 결과 조회 가능</x:v>
      </x:c>
      <x:c r="H216" s="12" t="str">
        <x:v>API/DB/ADM 화면/Runtime log/ACK·Drift/Audit/Transaction ID</x:v>
      </x:c>
      <x:c r="I216" s="12" t="str">
        <x:v>WAS 2+·MariaDB; 외부 Provider는 Simulator 병행</x:v>
      </x:c>
    </x:row>
    <x:row r="217">
      <x:c r="A217" s="12" t="str">
        <x:v>CPF-QA-EXEC-417</x:v>
      </x:c>
      <x:c r="B217" s="12" t="str">
        <x:v>ADMRT</x:v>
      </x:c>
      <x:c r="C217" s="12" t="str">
        <x:v>WP16</x:v>
      </x:c>
      <x:c r="D217" s="12" t="str">
        <x:v>인스턴스·그룹 관리 — 실패·Rollback·감사</x:v>
      </x:c>
      <x:c r="E217" s="12" t="str">
        <x:v>인스턴스·그룹 관리 v2가 Canary에서 오류 발생</x:v>
      </x:c>
      <x:c r="F217" s="12" t="str">
        <x:v>Wave 중단→Rollback/Forward Recovery→감사·알림·최종 상태 조회</x:v>
      </x:c>
      <x:c r="G217" s="12" t="str">
        <x:v>비정상 Wave 확산 0, Last Good 복원 또는 승인된 Forward Recovery, 실패 원인 보존</x:v>
      </x:c>
      <x:c r="H217" s="12" t="str">
        <x:v>API/DB/ADM 화면/Runtime log/ACK·Drift/Audit/Transaction ID</x:v>
      </x:c>
      <x:c r="I217" s="12" t="str">
        <x:v>WAS 2+·MariaDB; 외부 Provider는 Simulator 병행</x:v>
      </x:c>
    </x:row>
    <x:row r="218">
      <x:c r="A218" s="12" t="str">
        <x:v>CPF-QA-EXEC-418</x:v>
      </x:c>
      <x:c r="B218" s="12" t="str">
        <x:v>ADMRT</x:v>
      </x:c>
      <x:c r="C218" s="12" t="str">
        <x:v>WP16</x:v>
      </x:c>
      <x:c r="D218" s="12" t="str">
        <x:v>인스턴스별 로그 다운로드 — 정상 실시간 적용</x:v>
      </x:c>
      <x:c r="E218" s="12" t="str">
        <x:v>2개 Instance, 인스턴스별 로그 다운로드 v1 적용 상태</x:v>
      </x:c>
      <x:c r="F218" s="12" t="str">
        <x:v>ADM에서 대상 Preview→사유/승인→v2 적용→대상별 ACK/Actual 조회</x:v>
      </x:c>
      <x:c r="G218" s="12" t="str">
        <x:v>모든 대상 v2, 동일 Hash, Drift 0, 감사 전후값 기록</x:v>
      </x:c>
      <x:c r="H218" s="12" t="str">
        <x:v>API/DB/ADM 화면/Runtime log/ACK·Drift/Audit/Transaction ID</x:v>
      </x:c>
      <x:c r="I218" s="12" t="str">
        <x:v>WAS 2+·MariaDB; 외부 Provider는 Simulator 병행</x:v>
      </x:c>
    </x:row>
    <x:row r="219">
      <x:c r="A219" s="12" t="str">
        <x:v>CPF-QA-EXEC-419</x:v>
      </x:c>
      <x:c r="B219" s="12" t="str">
        <x:v>ADMRT</x:v>
      </x:c>
      <x:c r="C219" s="12" t="str">
        <x:v>WP16</x:v>
      </x:c>
      <x:c r="D219" s="12" t="str">
        <x:v>인스턴스별 로그 다운로드 — 부분 실패·Offline 복귀</x:v>
      </x:c>
      <x:c r="E219" s="12" t="str">
        <x:v>3개 대상 중 1개 Offline, 인스턴스별 로그 다운로드 v1</x:v>
      </x:c>
      <x:c r="F219" s="12" t="str">
        <x:v>v2 적용 후 Online 2개 ACK 확인→Offline Instance 재접속</x:v>
      </x:c>
      <x:c r="G219" s="12" t="str">
        <x:v>초기 PARTIAL, 재접속 후 v2 Reconcile, 전체 성공 조기 판정 없음</x:v>
      </x:c>
      <x:c r="H219" s="12" t="str">
        <x:v>API/DB/ADM 화면/Runtime log/ACK·Drift/Audit/Transaction ID</x:v>
      </x:c>
      <x:c r="I219" s="12" t="str">
        <x:v>WAS 2+·MariaDB; 외부 Provider는 Simulator 병행</x:v>
      </x:c>
    </x:row>
    <x:row r="220">
      <x:c r="A220" s="12" t="str">
        <x:v>CPF-QA-EXEC-420</x:v>
      </x:c>
      <x:c r="B220" s="12" t="str">
        <x:v>ADMRT</x:v>
      </x:c>
      <x:c r="C220" s="12" t="str">
        <x:v>WP16</x:v>
      </x:c>
      <x:c r="D220" s="12" t="str">
        <x:v>인스턴스별 로그 다운로드 — 중복·역전·응답 유실</x:v>
      </x:c>
      <x:c r="E220" s="12" t="str">
        <x:v>인스턴스별 로그 다운로드 v2 적용 직후 응답 유실</x:v>
      </x:c>
      <x:c r="F220" s="12" t="str">
        <x:v>같은 operationId 재시도→v1 지연 Delivery→Controller/Consumer 재시작</x:v>
      </x:c>
      <x:c r="G220" s="12" t="str">
        <x:v>Side Effect 1회, v1 거부, 최종 v2 유지, 결과 조회 가능</x:v>
      </x:c>
      <x:c r="H220" s="12" t="str">
        <x:v>API/DB/ADM 화면/Runtime log/ACK·Drift/Audit/Transaction ID</x:v>
      </x:c>
      <x:c r="I220" s="12" t="str">
        <x:v>WAS 2+·MariaDB; 외부 Provider는 Simulator 병행</x:v>
      </x:c>
    </x:row>
    <x:row r="221">
      <x:c r="A221" s="12" t="str">
        <x:v>CPF-QA-EXEC-421</x:v>
      </x:c>
      <x:c r="B221" s="12" t="str">
        <x:v>ADMRT</x:v>
      </x:c>
      <x:c r="C221" s="12" t="str">
        <x:v>WP16</x:v>
      </x:c>
      <x:c r="D221" s="12" t="str">
        <x:v>인스턴스별 로그 다운로드 — 실패·Rollback·감사</x:v>
      </x:c>
      <x:c r="E221" s="12" t="str">
        <x:v>인스턴스별 로그 다운로드 v2가 Canary에서 오류 발생</x:v>
      </x:c>
      <x:c r="F221" s="12" t="str">
        <x:v>Wave 중단→Rollback/Forward Recovery→감사·알림·최종 상태 조회</x:v>
      </x:c>
      <x:c r="G221" s="12" t="str">
        <x:v>비정상 Wave 확산 0, Last Good 복원 또는 승인된 Forward Recovery, 실패 원인 보존</x:v>
      </x:c>
      <x:c r="H221" s="12" t="str">
        <x:v>API/DB/ADM 화면/Runtime log/ACK·Drift/Audit/Transaction ID</x:v>
      </x:c>
      <x:c r="I221" s="12" t="str">
        <x:v>WAS 2+·MariaDB; 외부 Provider는 Simulator 병행</x:v>
      </x:c>
    </x:row>
    <x:row r="222">
      <x:c r="A222" s="12" t="str">
        <x:v>CPF-QA-EXEC-422</x:v>
      </x:c>
      <x:c r="B222" s="12" t="str">
        <x:v>ADMRT</x:v>
      </x:c>
      <x:c r="C222" s="12" t="str">
        <x:v>WP16</x:v>
      </x:c>
      <x:c r="D222" s="12" t="str">
        <x:v>관제·알림 — 정상 실시간 적용</x:v>
      </x:c>
      <x:c r="E222" s="12" t="str">
        <x:v>2개 Instance, 관제·알림 v1 적용 상태</x:v>
      </x:c>
      <x:c r="F222" s="12" t="str">
        <x:v>ADM에서 대상 Preview→사유/승인→v2 적용→대상별 ACK/Actual 조회</x:v>
      </x:c>
      <x:c r="G222" s="12" t="str">
        <x:v>모든 대상 v2, 동일 Hash, Drift 0, 감사 전후값 기록</x:v>
      </x:c>
      <x:c r="H222" s="12" t="str">
        <x:v>API/DB/ADM 화면/Runtime log/ACK·Drift/Audit/Transaction ID</x:v>
      </x:c>
      <x:c r="I222" s="12" t="str">
        <x:v>WAS 2+·MariaDB; 외부 Provider는 Simulator 병행</x:v>
      </x:c>
    </x:row>
    <x:row r="223">
      <x:c r="A223" s="12" t="str">
        <x:v>CPF-QA-EXEC-423</x:v>
      </x:c>
      <x:c r="B223" s="12" t="str">
        <x:v>ADMRT</x:v>
      </x:c>
      <x:c r="C223" s="12" t="str">
        <x:v>WP16</x:v>
      </x:c>
      <x:c r="D223" s="12" t="str">
        <x:v>관제·알림 — 부분 실패·Offline 복귀</x:v>
      </x:c>
      <x:c r="E223" s="12" t="str">
        <x:v>3개 대상 중 1개 Offline, 관제·알림 v1</x:v>
      </x:c>
      <x:c r="F223" s="12" t="str">
        <x:v>v2 적용 후 Online 2개 ACK 확인→Offline Instance 재접속</x:v>
      </x:c>
      <x:c r="G223" s="12" t="str">
        <x:v>초기 PARTIAL, 재접속 후 v2 Reconcile, 전체 성공 조기 판정 없음</x:v>
      </x:c>
      <x:c r="H223" s="12" t="str">
        <x:v>API/DB/ADM 화면/Runtime log/ACK·Drift/Audit/Transaction ID</x:v>
      </x:c>
      <x:c r="I223" s="12" t="str">
        <x:v>WAS 2+·MariaDB; 외부 Provider는 Simulator 병행</x:v>
      </x:c>
    </x:row>
    <x:row r="224">
      <x:c r="A224" s="12" t="str">
        <x:v>CPF-QA-EXEC-424</x:v>
      </x:c>
      <x:c r="B224" s="12" t="str">
        <x:v>ADMRT</x:v>
      </x:c>
      <x:c r="C224" s="12" t="str">
        <x:v>WP16</x:v>
      </x:c>
      <x:c r="D224" s="12" t="str">
        <x:v>관제·알림 — 중복·역전·응답 유실</x:v>
      </x:c>
      <x:c r="E224" s="12" t="str">
        <x:v>관제·알림 v2 적용 직후 응답 유실</x:v>
      </x:c>
      <x:c r="F224" s="12" t="str">
        <x:v>같은 operationId 재시도→v1 지연 Delivery→Controller/Consumer 재시작</x:v>
      </x:c>
      <x:c r="G224" s="12" t="str">
        <x:v>Side Effect 1회, v1 거부, 최종 v2 유지, 결과 조회 가능</x:v>
      </x:c>
      <x:c r="H224" s="12" t="str">
        <x:v>API/DB/ADM 화면/Runtime log/ACK·Drift/Audit/Transaction ID</x:v>
      </x:c>
      <x:c r="I224" s="12" t="str">
        <x:v>WAS 2+·MariaDB; 외부 Provider는 Simulator 병행</x:v>
      </x:c>
    </x:row>
    <x:row r="225">
      <x:c r="A225" s="12" t="str">
        <x:v>CPF-QA-EXEC-425</x:v>
      </x:c>
      <x:c r="B225" s="12" t="str">
        <x:v>ADMRT</x:v>
      </x:c>
      <x:c r="C225" s="12" t="str">
        <x:v>WP16</x:v>
      </x:c>
      <x:c r="D225" s="12" t="str">
        <x:v>관제·알림 — 실패·Rollback·감사</x:v>
      </x:c>
      <x:c r="E225" s="12" t="str">
        <x:v>관제·알림 v2가 Canary에서 오류 발생</x:v>
      </x:c>
      <x:c r="F225" s="12" t="str">
        <x:v>Wave 중단→Rollback/Forward Recovery→감사·알림·최종 상태 조회</x:v>
      </x:c>
      <x:c r="G225" s="12" t="str">
        <x:v>비정상 Wave 확산 0, Last Good 복원 또는 승인된 Forward Recovery, 실패 원인 보존</x:v>
      </x:c>
      <x:c r="H225" s="12" t="str">
        <x:v>API/DB/ADM 화면/Runtime log/ACK·Drift/Audit/Transaction ID</x:v>
      </x:c>
      <x:c r="I225" s="12" t="str">
        <x:v>WAS 2+·MariaDB; 외부 Provider는 Simulator 병행</x:v>
      </x:c>
    </x:row>
    <x:row r="226">
      <x:c r="A226" s="12" t="str">
        <x:v>CPF-QA-EXEC-426</x:v>
      </x:c>
      <x:c r="B226" s="12" t="str">
        <x:v>ADMRT</x:v>
      </x:c>
      <x:c r="C226" s="12" t="str">
        <x:v>WP16</x:v>
      </x:c>
      <x:c r="D226" s="12" t="str">
        <x:v>Local 개발 Runtime — 정상 실시간 적용</x:v>
      </x:c>
      <x:c r="E226" s="12" t="str">
        <x:v>2개 Instance, Local 개발 Runtime v1 적용 상태</x:v>
      </x:c>
      <x:c r="F226" s="12" t="str">
        <x:v>ADM에서 대상 Preview→사유/승인→v2 적용→대상별 ACK/Actual 조회</x:v>
      </x:c>
      <x:c r="G226" s="12" t="str">
        <x:v>모든 대상 v2, 동일 Hash, Drift 0, 감사 전후값 기록</x:v>
      </x:c>
      <x:c r="H226" s="12" t="str">
        <x:v>API/DB/ADM 화면/Runtime log/ACK·Drift/Audit/Transaction ID</x:v>
      </x:c>
      <x:c r="I226" s="12" t="str">
        <x:v>WAS 2+·MariaDB; 외부 Provider는 Simulator 병행</x:v>
      </x:c>
    </x:row>
    <x:row r="227">
      <x:c r="A227" s="12" t="str">
        <x:v>CPF-QA-EXEC-427</x:v>
      </x:c>
      <x:c r="B227" s="12" t="str">
        <x:v>ADMRT</x:v>
      </x:c>
      <x:c r="C227" s="12" t="str">
        <x:v>WP16</x:v>
      </x:c>
      <x:c r="D227" s="12" t="str">
        <x:v>Local 개발 Runtime — 부분 실패·Offline 복귀</x:v>
      </x:c>
      <x:c r="E227" s="12" t="str">
        <x:v>3개 대상 중 1개 Offline, Local 개발 Runtime v1</x:v>
      </x:c>
      <x:c r="F227" s="12" t="str">
        <x:v>v2 적용 후 Online 2개 ACK 확인→Offline Instance 재접속</x:v>
      </x:c>
      <x:c r="G227" s="12" t="str">
        <x:v>초기 PARTIAL, 재접속 후 v2 Reconcile, 전체 성공 조기 판정 없음</x:v>
      </x:c>
      <x:c r="H227" s="12" t="str">
        <x:v>API/DB/ADM 화면/Runtime log/ACK·Drift/Audit/Transaction ID</x:v>
      </x:c>
      <x:c r="I227" s="12" t="str">
        <x:v>WAS 2+·MariaDB; 외부 Provider는 Simulator 병행</x:v>
      </x:c>
    </x:row>
    <x:row r="228">
      <x:c r="A228" s="12" t="str">
        <x:v>CPF-QA-EXEC-428</x:v>
      </x:c>
      <x:c r="B228" s="12" t="str">
        <x:v>ADMRT</x:v>
      </x:c>
      <x:c r="C228" s="12" t="str">
        <x:v>WP16</x:v>
      </x:c>
      <x:c r="D228" s="12" t="str">
        <x:v>Local 개발 Runtime — 중복·역전·응답 유실</x:v>
      </x:c>
      <x:c r="E228" s="12" t="str">
        <x:v>Local 개발 Runtime v2 적용 직후 응답 유실</x:v>
      </x:c>
      <x:c r="F228" s="12" t="str">
        <x:v>같은 operationId 재시도→v1 지연 Delivery→Controller/Consumer 재시작</x:v>
      </x:c>
      <x:c r="G228" s="12" t="str">
        <x:v>Side Effect 1회, v1 거부, 최종 v2 유지, 결과 조회 가능</x:v>
      </x:c>
      <x:c r="H228" s="12" t="str">
        <x:v>API/DB/ADM 화면/Runtime log/ACK·Drift/Audit/Transaction ID</x:v>
      </x:c>
      <x:c r="I228" s="12" t="str">
        <x:v>WAS 2+·MariaDB; 외부 Provider는 Simulator 병행</x:v>
      </x:c>
    </x:row>
    <x:row r="229">
      <x:c r="A229" s="12" t="str">
        <x:v>CPF-QA-EXEC-429</x:v>
      </x:c>
      <x:c r="B229" s="12" t="str">
        <x:v>ADMRT</x:v>
      </x:c>
      <x:c r="C229" s="12" t="str">
        <x:v>WP16</x:v>
      </x:c>
      <x:c r="D229" s="12" t="str">
        <x:v>Local 개발 Runtime — 실패·Rollback·감사</x:v>
      </x:c>
      <x:c r="E229" s="12" t="str">
        <x:v>Local 개발 Runtime v2가 Canary에서 오류 발생</x:v>
      </x:c>
      <x:c r="F229" s="12" t="str">
        <x:v>Wave 중단→Rollback/Forward Recovery→감사·알림·최종 상태 조회</x:v>
      </x:c>
      <x:c r="G229" s="12" t="str">
        <x:v>비정상 Wave 확산 0, Last Good 복원 또는 승인된 Forward Recovery, 실패 원인 보존</x:v>
      </x:c>
      <x:c r="H229" s="12" t="str">
        <x:v>API/DB/ADM 화면/Runtime log/ACK·Drift/Audit/Transaction ID</x:v>
      </x:c>
      <x:c r="I229" s="12" t="str">
        <x:v>WAS 2+·MariaDB; 외부 Provider는 Simulator 병행</x:v>
      </x:c>
    </x:row>
    <x:row r="230">
      <x:c r="A230" s="12" t="str">
        <x:v>CPF-QA-EXEC-430</x:v>
      </x:c>
      <x:c r="B230" s="12" t="str">
        <x:v>ADMRT</x:v>
      </x:c>
      <x:c r="C230" s="12" t="str">
        <x:v>WP16</x:v>
      </x:c>
      <x:c r="D230" s="12" t="str">
        <x:v>EDU·Reference 예제 그룹 — 정상 실시간 적용</x:v>
      </x:c>
      <x:c r="E230" s="12" t="str">
        <x:v>2개 Instance, EDU·Reference 예제 그룹 v1 적용 상태</x:v>
      </x:c>
      <x:c r="F230" s="12" t="str">
        <x:v>ADM에서 대상 Preview→사유/승인→v2 적용→대상별 ACK/Actual 조회</x:v>
      </x:c>
      <x:c r="G230" s="12" t="str">
        <x:v>모든 대상 v2, 동일 Hash, Drift 0, 감사 전후값 기록</x:v>
      </x:c>
      <x:c r="H230" s="12" t="str">
        <x:v>API/DB/ADM 화면/Runtime log/ACK·Drift/Audit/Transaction ID</x:v>
      </x:c>
      <x:c r="I230" s="12" t="str">
        <x:v>WAS 2+·MariaDB; 외부 Provider는 Simulator 병행</x:v>
      </x:c>
    </x:row>
    <x:row r="231">
      <x:c r="A231" s="12" t="str">
        <x:v>CPF-QA-EXEC-431</x:v>
      </x:c>
      <x:c r="B231" s="12" t="str">
        <x:v>ADMRT</x:v>
      </x:c>
      <x:c r="C231" s="12" t="str">
        <x:v>WP16</x:v>
      </x:c>
      <x:c r="D231" s="12" t="str">
        <x:v>EDU·Reference 예제 그룹 — 부분 실패·Offline 복귀</x:v>
      </x:c>
      <x:c r="E231" s="12" t="str">
        <x:v>3개 대상 중 1개 Offline, EDU·Reference 예제 그룹 v1</x:v>
      </x:c>
      <x:c r="F231" s="12" t="str">
        <x:v>v2 적용 후 Online 2개 ACK 확인→Offline Instance 재접속</x:v>
      </x:c>
      <x:c r="G231" s="12" t="str">
        <x:v>초기 PARTIAL, 재접속 후 v2 Reconcile, 전체 성공 조기 판정 없음</x:v>
      </x:c>
      <x:c r="H231" s="12" t="str">
        <x:v>API/DB/ADM 화면/Runtime log/ACK·Drift/Audit/Transaction ID</x:v>
      </x:c>
      <x:c r="I231" s="12" t="str">
        <x:v>WAS 2+·MariaDB; 외부 Provider는 Simulator 병행</x:v>
      </x:c>
    </x:row>
    <x:row r="232">
      <x:c r="A232" s="12" t="str">
        <x:v>CPF-QA-EXEC-432</x:v>
      </x:c>
      <x:c r="B232" s="12" t="str">
        <x:v>ADMRT</x:v>
      </x:c>
      <x:c r="C232" s="12" t="str">
        <x:v>WP16</x:v>
      </x:c>
      <x:c r="D232" s="12" t="str">
        <x:v>EDU·Reference 예제 그룹 — 중복·역전·응답 유실</x:v>
      </x:c>
      <x:c r="E232" s="12" t="str">
        <x:v>EDU·Reference 예제 그룹 v2 적용 직후 응답 유실</x:v>
      </x:c>
      <x:c r="F232" s="12" t="str">
        <x:v>같은 operationId 재시도→v1 지연 Delivery→Controller/Consumer 재시작</x:v>
      </x:c>
      <x:c r="G232" s="12" t="str">
        <x:v>Side Effect 1회, v1 거부, 최종 v2 유지, 결과 조회 가능</x:v>
      </x:c>
      <x:c r="H232" s="12" t="str">
        <x:v>API/DB/ADM 화면/Runtime log/ACK·Drift/Audit/Transaction ID</x:v>
      </x:c>
      <x:c r="I232" s="12" t="str">
        <x:v>WAS 2+·MariaDB; 외부 Provider는 Simulator 병행</x:v>
      </x:c>
    </x:row>
    <x:row r="233">
      <x:c r="A233" s="12" t="str">
        <x:v>CPF-QA-EXEC-433</x:v>
      </x:c>
      <x:c r="B233" s="12" t="str">
        <x:v>ADMRT</x:v>
      </x:c>
      <x:c r="C233" s="12" t="str">
        <x:v>WP16</x:v>
      </x:c>
      <x:c r="D233" s="12" t="str">
        <x:v>EDU·Reference 예제 그룹 — 실패·Rollback·감사</x:v>
      </x:c>
      <x:c r="E233" s="12" t="str">
        <x:v>EDU·Reference 예제 그룹 v2가 Canary에서 오류 발생</x:v>
      </x:c>
      <x:c r="F233" s="12" t="str">
        <x:v>Wave 중단→Rollback/Forward Recovery→감사·알림·최종 상태 조회</x:v>
      </x:c>
      <x:c r="G233" s="12" t="str">
        <x:v>비정상 Wave 확산 0, Last Good 복원 또는 승인된 Forward Recovery, 실패 원인 보존</x:v>
      </x:c>
      <x:c r="H233" s="12" t="str">
        <x:v>API/DB/ADM 화면/Runtime log/ACK·Drift/Audit/Transaction ID</x:v>
      </x:c>
      <x:c r="I233" s="12" t="str">
        <x:v>WAS 2+·MariaDB; 외부 Provider는 Simulator 병행</x:v>
      </x:c>
    </x:row>
    <x:row r="234">
      <x:c r="A234" s="12" t="str">
        <x:v>CPF-QA-EXEC-434</x:v>
      </x:c>
      <x:c r="B234" s="12" t="str">
        <x:v>ADMRT</x:v>
      </x:c>
      <x:c r="C234" s="12" t="str">
        <x:v>WP16</x:v>
      </x:c>
      <x:c r="D234" s="12" t="str">
        <x:v>Java 25 전체 Build</x:v>
      </x:c>
      <x:c r="E234" s="12" t="str">
        <x:v>최신 master clean checkout·Temurin 25·Gradle 9.1</x:v>
      </x:c>
      <x:c r="F234" s="12" t="str">
        <x:v>clean test assemble qualityGate 및 Frontend/Generator/Local Runtime Gate 실행</x:v>
      </x:c>
      <x:c r="G234" s="12" t="str">
        <x:v>실행 성공 시에만 검증 완료; 실패는 Root Cause 수리 후 동일 SHA/새 SHA 재실행</x:v>
      </x:c>
      <x:c r="H234" s="12" t="str">
        <x:v>명령·환경·시작/종료·로그·DB/API/UI 결과·SHA-256</x:v>
      </x:c>
      <x:c r="I234" s="12" t="str">
        <x:v>Codex/CI</x:v>
      </x:c>
    </x:row>
    <x:row r="235">
      <x:c r="A235" s="12" t="str">
        <x:v>CPF-QA-EXEC-435</x:v>
      </x:c>
      <x:c r="B235" s="12" t="str">
        <x:v>ADMRT</x:v>
      </x:c>
      <x:c r="C235" s="12" t="str">
        <x:v>WP16</x:v>
      </x:c>
      <x:c r="D235" s="12" t="str">
        <x:v>Local/Remote Parity</x:v>
      </x:c>
      <x:c r="E235" s="12" t="str">
        <x:v>동일 업무를 All-in-One과 분리 WAS로 기동</x:v>
      </x:c>
      <x:c r="F235" s="12" t="str">
        <x:v>동일 Request로 Local Facade/Remote Facade 호출 후 Header/Error/Trace 비교</x:v>
      </x:c>
      <x:c r="G235" s="12" t="str">
        <x:v>계약 동일, Local HTTP loopback 0, Remote timeout/failover 정책 정확</x:v>
      </x:c>
      <x:c r="H235" s="12" t="str">
        <x:v>명령·환경·시작/종료·로그·DB/API/UI 결과·SHA-256</x:v>
      </x:c>
      <x:c r="I235" s="12" t="str">
        <x:v>WAS·MariaDB</x:v>
      </x:c>
    </x:row>
    <x:row r="236">
      <x:c r="A236" s="12" t="str">
        <x:v>CPF-QA-EXEC-436</x:v>
      </x:c>
      <x:c r="B236" s="12" t="str">
        <x:v>ADMRT</x:v>
      </x:c>
      <x:c r="C236" s="12" t="str">
        <x:v>WP16</x:v>
      </x:c>
      <x:c r="D236" s="12" t="str">
        <x:v>ADM 위험 조치 승인 경쟁</x:v>
      </x:c>
      <x:c r="E236" s="12" t="str">
        <x:v>Preview 후 대상 상태/Version 변경</x:v>
      </x:c>
      <x:c r="F236" s="12" t="str">
        <x:v>승인·실행 시 expectedVersion 재검증</x:v>
      </x:c>
      <x:c r="G236" s="12" t="str">
        <x:v>409 또는 재승인, 오래된 Preview로 실행 0</x:v>
      </x:c>
      <x:c r="H236" s="12" t="str">
        <x:v>명령·환경·시작/종료·로그·DB/API/UI 결과·SHA-256</x:v>
      </x:c>
      <x:c r="I236" s="12" t="str">
        <x:v>WAS·MariaDB</x:v>
      </x:c>
    </x:row>
    <x:row r="237">
      <x:c r="A237" s="12" t="str">
        <x:v>CPF-QA-EXEC-437</x:v>
      </x:c>
      <x:c r="B237" s="12" t="str">
        <x:v>ADMRT</x:v>
      </x:c>
      <x:c r="C237" s="12" t="str">
        <x:v>WP16</x:v>
      </x:c>
      <x:c r="D237" s="12" t="str">
        <x:v>Runtime Controller 재시작</x:v>
      </x:c>
      <x:c r="E237" s="12" t="str">
        <x:v>다중 대상 Delivery 진행 중 Controller 종료</x:v>
      </x:c>
      <x:c r="F237" s="12" t="str">
        <x:v>재기동 후 Pending/ACK/Actual Reconcile</x:v>
      </x:c>
      <x:c r="G237" s="12" t="str">
        <x:v>유실·중복 Side Effect 0, 결과 상태 수렴</x:v>
      </x:c>
      <x:c r="H237" s="12" t="str">
        <x:v>명령·환경·시작/종료·로그·DB/API/UI 결과·SHA-256</x:v>
      </x:c>
      <x:c r="I237" s="12" t="str">
        <x:v>WAS 2+·MariaDB</x:v>
      </x:c>
    </x:row>
    <x:row r="238">
      <x:c r="A238" s="12" t="str">
        <x:v>CPF-QA-EXEC-438</x:v>
      </x:c>
      <x:c r="B238" s="12" t="str">
        <x:v>ADMRT</x:v>
      </x:c>
      <x:c r="C238" s="12" t="str">
        <x:v>WP16</x:v>
      </x:c>
      <x:c r="D238" s="12" t="str">
        <x:v>MariaDB Lifecycle</x:v>
      </x:c>
      <x:c r="E238" s="12" t="str">
        <x:v>빈 Schema와 이전 Baseline 준비</x:v>
      </x:c>
      <x:c r="F238" s="12" t="str">
        <x:v>Fresh install→Seed→Runtime Query→Upgrade→Rollback/Forward Recovery→Reapply</x:v>
      </x:c>
      <x:c r="G238" s="12" t="str">
        <x:v>Schema/Data/Constraint/Checksum 일치, Silent Skip 0</x:v>
      </x:c>
      <x:c r="H238" s="12" t="str">
        <x:v>명령·환경·시작/종료·로그·DB/API/UI 결과·SHA-256</x:v>
      </x:c>
      <x:c r="I238" s="12" t="str">
        <x:v>MariaDB</x:v>
      </x:c>
    </x:row>
    <x:row r="239">
      <x:c r="A239" s="12" t="str">
        <x:v>CPF-QA-EXEC-439</x:v>
      </x:c>
      <x:c r="B239" s="12" t="str">
        <x:v>ADMRT</x:v>
      </x:c>
      <x:c r="C239" s="12" t="str">
        <x:v>WP16</x:v>
      </x:c>
      <x:c r="D239" s="12" t="str">
        <x:v>미설치 Provider 판정</x:v>
      </x:c>
      <x:c r="E239" s="12" t="str">
        <x:v>Kafka/Redis/SMS 실제 제품 없음</x:v>
      </x:c>
      <x:c r="F239" s="12" t="str">
        <x:v>Simulator 정상/Timeout/Duplicate/RateLimit/Down Fault 실행</x:v>
      </x:c>
      <x:c r="G239" s="12" t="str">
        <x:v>구현은 검증하되 실제 Provider 상태는 미검증 유지</x:v>
      </x:c>
      <x:c r="H239" s="12" t="str">
        <x:v>명령·환경·시작/종료·로그·DB/API/UI 결과·SHA-256</x:v>
      </x:c>
      <x:c r="I239" s="12" t="str">
        <x:v>Simulator</x:v>
      </x:c>
    </x:row>
    <x:row r="240">
      <x:c r="A240" s="12" t="str">
        <x:v>CPF-QA-EXEC-440</x:v>
      </x:c>
      <x:c r="B240" s="12" t="str">
        <x:v>ADMRT</x:v>
      </x:c>
      <x:c r="C240" s="12" t="str">
        <x:v>WP16</x:v>
      </x:c>
      <x:c r="D240" s="12" t="str">
        <x:v>Evidence 무결성</x:v>
      </x:c>
      <x:c r="E240" s="12" t="str">
        <x:v>다른 SHA의 과거 PASS Evidence 준비</x:v>
      </x:c>
      <x:c r="F240" s="12" t="str">
        <x:v>현재 QA 완료 연결 시도</x:v>
      </x:c>
      <x:c r="G240" s="12" t="str">
        <x:v>Gate 거부, 현재 SHA 명령·로그·Hash만 인정</x:v>
      </x:c>
      <x:c r="H240" s="12" t="str">
        <x:v>명령·환경·시작/종료·로그·DB/API/UI 결과·SHA-256</x:v>
      </x:c>
      <x:c r="I240" s="12" t="str">
        <x:v>Codex/CI</x:v>
      </x:c>
    </x:row>
    <x:row r="241">
      <x:c r="A241" s="12" t="str">
        <x:v>CPF-QA-EXEC-441</x:v>
      </x:c>
      <x:c r="B241" s="12" t="str">
        <x:v>ADMRT</x:v>
      </x:c>
      <x:c r="C241" s="12" t="str">
        <x:v>WP16</x:v>
      </x:c>
      <x:c r="D241" s="12" t="str">
        <x:v>다음 QA 재생성</x:v>
      </x:c>
      <x:c r="E241" s="12" t="str">
        <x:v>현재 작업 Push와 Codex 수리 Push 완료</x:v>
      </x:c>
      <x:c r="F241" s="12" t="str">
        <x:v>최신 master·Evidence·전체 Inventory 재판정</x:v>
      </x:c>
      <x:c r="G241" s="12" t="str">
        <x:v>실제 남은 실패/부분/미검증만 Root Cause 기준으로 다음 QA 생성</x:v>
      </x:c>
      <x:c r="H241" s="12" t="str">
        <x:v>명령·환경·시작/종료·로그·DB/API/UI 결과·SHA-256</x:v>
      </x:c>
      <x:c r="I241" s="12" t="str">
        <x:v>ChatGPT+Codex</x:v>
      </x:c>
    </x:row>
    <x:row r="242">
      <x:c r="A242" s="12" t="str">
        <x:v>CPF-QA-EXEC-D04-001</x:v>
      </x:c>
      <x:c r="B242" s="12" t="str">
        <x:v>REDIS</x:v>
      </x:c>
      <x:c r="C242" s="12" t="str">
        <x:v>WP16</x:v>
      </x:c>
      <x:c r="D242" s="12" t="str">
        <x:v>Redis 미설치 Profile 기동</x:v>
      </x:c>
      <x:c r="E242" s="12" t="str">
        <x:v>Redis dependency/config 없음</x:v>
      </x:c>
      <x:c r="F242" s="12" t="str">
        <x:v>Redis 비활성 profile로 전체 context와 cache consumer를 기동한다.</x:v>
      </x:c>
      <x:c r="G242" s="12" t="str">
        <x:v>Caffeine/DB durable 경로는 정상이고 Redis Bean 강제 생성이 없다.</x:v>
      </x:c>
      <x:c r="H242" s="12" t="str">
        <x:v>startup log, bean report</x:v>
      </x:c>
      <x:c r="I242" s="12" t="str">
        <x:v>Build/Runtime</x:v>
      </x:c>
    </x:row>
    <x:row r="243">
      <x:c r="A243" s="12" t="str">
        <x:v>CPF-QA-EXEC-D04-002</x:v>
      </x:c>
      <x:c r="B243" s="12" t="str">
        <x:v>REDIS</x:v>
      </x:c>
      <x:c r="C243" s="12" t="str">
        <x:v>WP16</x:v>
      </x:c>
      <x:c r="D243" s="12" t="str">
        <x:v>Redis 정상 Cache-aside</x:v>
      </x:c>
      <x:c r="E243" s="12" t="str">
        <x:v>실 Redis 또는 Testcontainer, DB seed</x:v>
      </x:c>
      <x:c r="F243" s="12" t="str">
        <x:v>miss→DB load→L1/L2 저장→hit를 실행한다.</x:v>
      </x:c>
      <x:c r="G243" s="12" t="str">
        <x:v>결과 일치, hit 증가, key namespace와 TTL이 정책대로다.</x:v>
      </x:c>
      <x:c r="H243" s="12" t="str">
        <x:v>metrics, Redis key, HTTP</x:v>
      </x:c>
      <x:c r="I243" s="12" t="str">
        <x:v>Redis</x:v>
      </x:c>
    </x:row>
    <x:row r="244">
      <x:c r="A244" s="12" t="str">
        <x:v>CPF-QA-EXEC-D04-003</x:v>
      </x:c>
      <x:c r="B244" s="12" t="str">
        <x:v>REDIS</x:v>
      </x:c>
      <x:c r="C244" s="12" t="str">
        <x:v>WP16</x:v>
      </x:c>
      <x:c r="D244" s="12" t="str">
        <x:v>Redis Down 중 조회</x:v>
      </x:c>
      <x:c r="E244" s="12" t="str">
        <x:v>warm L1/L2</x:v>
      </x:c>
      <x:c r="F244" s="12" t="str">
        <x:v>Redis를 중단하고 일반 cache와 보안 cache를 조회한다.</x:v>
      </x:c>
      <x:c r="G244" s="12" t="str">
        <x:v>cache별 fail-open/fail-closed 정책대로 동작하고 alert가 생성된다.</x:v>
      </x:c>
      <x:c r="H244" s="12" t="str">
        <x:v>process log, alert</x:v>
      </x:c>
      <x:c r="I244" s="12" t="str">
        <x:v>Redis/Fault</x:v>
      </x:c>
    </x:row>
    <x:row r="245">
      <x:c r="A245" s="12" t="str">
        <x:v>CPF-QA-EXEC-D04-004</x:v>
      </x:c>
      <x:c r="B245" s="12" t="str">
        <x:v>REDIS</x:v>
      </x:c>
      <x:c r="C245" s="12" t="str">
        <x:v>WP16</x:v>
      </x:c>
      <x:c r="D245" s="12" t="str">
        <x:v>Pub/Sub 유실 후 Durable Replay</x:v>
      </x:c>
      <x:c r="E245" s="12" t="str">
        <x:v>consumer offline</x:v>
      </x:c>
      <x:c r="F245" s="12" t="str">
        <x:v>offline 중 invalidation 후 consumer를 복귀시킨다.</x:v>
      </x:c>
      <x:c r="G245" s="12" t="str">
        <x:v>durable source로 누락 없이 desired version에 도달한다.</x:v>
      </x:c>
      <x:c r="H245" s="12" t="str">
        <x:v>event/ack/checkpoint</x:v>
      </x:c>
      <x:c r="I245" s="12" t="str">
        <x:v>Multi-instance</x:v>
      </x:c>
    </x:row>
    <x:row r="246">
      <x:c r="A246" s="12" t="str">
        <x:v>CPF-QA-EXEC-D04-005</x:v>
      </x:c>
      <x:c r="B246" s="12" t="str">
        <x:v>REDIS</x:v>
      </x:c>
      <x:c r="C246" s="12" t="str">
        <x:v>WP16</x:v>
      </x:c>
      <x:c r="D246" s="12" t="str">
        <x:v>Consumer ID 중복</x:v>
      </x:c>
      <x:c r="E246" s="12" t="str">
        <x:v>동일 instanceId 설정 2 process</x:v>
      </x:c>
      <x:c r="F246" s="12" t="str">
        <x:v>두 process를 동시에 기동한다.</x:v>
      </x:c>
      <x:c r="G246" s="12" t="str">
        <x:v>중복 identity가 fail-fast 또는 CAS fencing으로 차단된다.</x:v>
      </x:c>
      <x:c r="H246" s="12" t="str">
        <x:v>process logs</x:v>
      </x:c>
      <x:c r="I246" s="12" t="str">
        <x:v>Multi-process</x:v>
      </x:c>
    </x:row>
    <x:row r="247">
      <x:c r="A247" s="12" t="str">
        <x:v>CPF-QA-EXEC-D04-006</x:v>
      </x:c>
      <x:c r="B247" s="12" t="str">
        <x:v>REDIS</x:v>
      </x:c>
      <x:c r="C247" s="12" t="str">
        <x:v>WP16</x:v>
      </x:c>
      <x:c r="D247" s="12" t="str">
        <x:v>Checkpoint CAS 경쟁</x:v>
      </x:c>
      <x:c r="E247" s="12" t="str">
        <x:v>동일 consumer checkpoint</x:v>
      </x:c>
      <x:c r="F247" s="12" t="str">
        <x:v>두 poller가 같은 expectedLastEventId로 update한다.</x:v>
      </x:c>
      <x:c r="G247" s="12" t="str">
        <x:v>한 건만 성공하고 순서 손실이 없다.</x:v>
      </x:c>
      <x:c r="H247" s="12" t="str">
        <x:v>DB rows, errors</x:v>
      </x:c>
      <x:c r="I247" s="12" t="str">
        <x:v>DB/Multi-process</x:v>
      </x:c>
    </x:row>
    <x:row r="248">
      <x:c r="A248" s="12" t="str">
        <x:v>CPF-QA-EXEC-D04-007</x:v>
      </x:c>
      <x:c r="B248" s="12" t="str">
        <x:v>REDIS</x:v>
      </x:c>
      <x:c r="C248" s="12" t="str">
        <x:v>WP16</x:v>
      </x:c>
      <x:c r="D248" s="12" t="str">
        <x:v>10만 Backlog 복구</x:v>
      </x:c>
      <x:c r="E248" s="12" t="str">
        <x:v>10만 durable event, offline instance</x:v>
      </x:c>
      <x:c r="F248" s="12" t="str">
        <x:v>batch paging으로 처리 중 kill 후 재기동한다.</x:v>
      </x:c>
      <x:c r="G248" s="12" t="str">
        <x:v>bounded memory, 정확한 resume, 누락/중복 side effect 0이다.</x:v>
      </x:c>
      <x:c r="H248" s="12" t="str">
        <x:v>heap, checkpoint, counts</x:v>
      </x:c>
      <x:c r="I248" s="12" t="str">
        <x:v>Load/Fault</x:v>
      </x:c>
    </x:row>
    <x:row r="249">
      <x:c r="A249" s="12" t="str">
        <x:v>CPF-QA-EXEC-D04-008</x:v>
      </x:c>
      <x:c r="B249" s="12" t="str">
        <x:v>REDIS</x:v>
      </x:c>
      <x:c r="C249" s="12" t="str">
        <x:v>WP16</x:v>
      </x:c>
      <x:c r="D249" s="12" t="str">
        <x:v>Poison Event</x:v>
      </x:c>
      <x:c r="E249" s="12" t="str">
        <x:v>지원하지 않는 schema event</x:v>
      </x:c>
      <x:c r="F249" s="12" t="str">
        <x:v>consumer를 실행하고 retry 소진 후 수동 재처리한다.</x:v>
      </x:c>
      <x:c r="G249" s="12" t="str">
        <x:v>정상 event는 막히지 않고 poison이 격리·감사된다.</x:v>
      </x:c>
      <x:c r="H249" s="12" t="str">
        <x:v>DLQ/quarantine rows</x:v>
      </x:c>
      <x:c r="I249" s="12" t="str">
        <x:v>Fault</x:v>
      </x:c>
    </x:row>
    <x:row r="250">
      <x:c r="A250" s="12" t="str">
        <x:v>CPF-QA-EXEC-D04-009</x:v>
      </x:c>
      <x:c r="B250" s="12" t="str">
        <x:v>REDIS</x:v>
      </x:c>
      <x:c r="C250" s="12" t="str">
        <x:v>WP16</x:v>
      </x:c>
      <x:c r="D250" s="12" t="str">
        <x:v>Distributed Lock stale owner</x:v>
      </x:c>
      <x:c r="E250" s="12" t="str">
        <x:v>짧은 TTL과 두 worker</x:v>
      </x:c>
      <x:c r="F250" s="12" t="str">
        <x:v>owner A 정지 후 B 획득, A 복귀 write를 시도한다.</x:v>
      </x:c>
      <x:c r="G250" s="12" t="str">
        <x:v>fencing으로 A의 stale write가 차단된다.</x:v>
      </x:c>
      <x:c r="H250" s="12" t="str">
        <x:v>lock token, DB result</x:v>
      </x:c>
      <x:c r="I250" s="12" t="str">
        <x:v>Redis/Multi-process</x:v>
      </x:c>
    </x:row>
    <x:row r="251">
      <x:c r="A251" s="12" t="str">
        <x:v>CPF-QA-EXEC-D04-010</x:v>
      </x:c>
      <x:c r="B251" s="12" t="str">
        <x:v>REDIS</x:v>
      </x:c>
      <x:c r="C251" s="12" t="str">
        <x:v>WP16</x:v>
      </x:c>
      <x:c r="D251" s="12" t="str">
        <x:v>Redis Sentinel/Cluster Failover</x:v>
      </x:c>
      <x:c r="E251" s="12" t="str">
        <x:v>지원 topology</x:v>
      </x:c>
      <x:c r="F251" s="12" t="str">
        <x:v>master failover 또는 slot 이동을 유도한다.</x:v>
      </x:c>
      <x:c r="G251" s="12" t="str">
        <x:v>허용 downtime 내 복구되고 duplicate/loss가 없다.</x:v>
      </x:c>
      <x:c r="H251" s="12" t="str">
        <x:v>topology logs, metrics</x:v>
      </x:c>
      <x:c r="I251" s="12" t="str">
        <x:v>Redis/Fault</x:v>
      </x:c>
    </x:row>
    <x:row r="252">
      <x:c r="A252" s="12" t="str">
        <x:v>CPF-QA-EXEC-D04-011</x:v>
      </x:c>
      <x:c r="B252" s="12" t="str">
        <x:v>REDIS</x:v>
      </x:c>
      <x:c r="C252" s="12" t="str">
        <x:v>WP16</x:v>
      </x:c>
      <x:c r="D252" s="12" t="str">
        <x:v>ADM Cache 조치 권한</x:v>
      </x:c>
      <x:c r="E252" s="12" t="str">
        <x:v>조회전용/운영/승인 사용자</x:v>
      </x:c>
      <x:c r="F252" s="12" t="str">
        <x:v>full refresh와 reconcile을 UI/API로 실행한다.</x:v>
      </x:c>
      <x:c r="G252" s="12" t="str">
        <x:v>권한·승인·사유·대상별 결과가 정확하다.</x:v>
      </x:c>
      <x:c r="H252" s="12" t="str">
        <x:v>browser trace, audit</x:v>
      </x:c>
      <x:c r="I252" s="12" t="str">
        <x:v>Browser/Security</x:v>
      </x:c>
    </x:row>
    <x:row r="253">
      <x:c r="A253" s="12" t="str">
        <x:v>CPF-QA-EXEC-D04-012</x:v>
      </x:c>
      <x:c r="B253" s="12" t="str">
        <x:v>UIX</x:v>
      </x:c>
      <x:c r="C253" s="12" t="str">
        <x:v>WP17</x:v>
      </x:c>
      <x:c r="D253" s="12" t="str">
        <x:v>BZA 5단계 조직 Tree</x:v>
      </x:c>
      <x:c r="E253" s="12" t="str">
        <x:v>5단계 조직과 1만 node</x:v>
      </x:c>
      <x:c r="F253" s="12" t="str">
        <x:v>검색, expand, breadcrumb, 선택, 새로고침을 수행한다.</x:v>
      </x:c>
      <x:c r="G253" s="12" t="str">
        <x:v>경로 자동 확장과 상태 보존, 성능 상한을 만족한다.</x:v>
      </x:c>
      <x:c r="H253" s="12" t="str">
        <x:v>browser trace, perf</x:v>
      </x:c>
      <x:c r="I253" s="12" t="str">
        <x:v>Browser</x:v>
      </x:c>
    </x:row>
    <x:row r="254">
      <x:c r="A254" s="12" t="str">
        <x:v>CPF-QA-EXEC-D04-013</x:v>
      </x:c>
      <x:c r="B254" s="12" t="str">
        <x:v>UIX</x:v>
      </x:c>
      <x:c r="C254" s="12" t="str">
        <x:v>WP17</x:v>
      </x:c>
      <x:c r="D254" s="12" t="str">
        <x:v>조직 Cycle 이동 차단</x:v>
      </x:c>
      <x:c r="E254" s="12" t="str">
        <x:v>A→B→C 구조</x:v>
      </x:c>
      <x:c r="F254" s="12" t="str">
        <x:v>A의 parent를 C로 변경한다.</x:v>
      </x:c>
      <x:c r="G254" s="12" t="str">
        <x:v>preview 또는 backend에서 차단되고 감사된다.</x:v>
      </x:c>
      <x:c r="H254" s="12" t="str">
        <x:v>HTTP 409, UI message</x:v>
      </x:c>
      <x:c r="I254" s="12" t="str">
        <x:v>Browser/API</x:v>
      </x:c>
    </x:row>
    <x:row r="255">
      <x:c r="A255" s="12" t="str">
        <x:v>CPF-QA-EXEC-D04-014</x:v>
      </x:c>
      <x:c r="B255" s="12" t="str">
        <x:v>UIX</x:v>
      </x:c>
      <x:c r="C255" s="12" t="str">
        <x:v>WP17</x:v>
      </x:c>
      <x:c r="D255" s="12" t="str">
        <x:v>메뉴·권한 Tree parity</x:v>
      </x:c>
      <x:c r="E255" s="12" t="str">
        <x:v>menu/route/api manifest</x:v>
      </x:c>
      <x:c r="F255" s="12" t="str">
        <x:v>Tree 노드를 선택해 screen/button/api 권한을 비교한다.</x:v>
      </x:c>
      <x:c r="G255" s="12" t="str">
        <x:v>고아·불일치가 표시되고 적용이 차단된다.</x:v>
      </x:c>
      <x:c r="H255" s="12" t="str">
        <x:v>matrix, browser</x:v>
      </x:c>
      <x:c r="I255" s="12" t="str">
        <x:v>Browser/Static</x:v>
      </x:c>
    </x:row>
    <x:row r="256">
      <x:c r="A256" s="12" t="str">
        <x:v>CPF-QA-EXEC-D04-015</x:v>
      </x:c>
      <x:c r="B256" s="12" t="str">
        <x:v>UIX</x:v>
      </x:c>
      <x:c r="C256" s="12" t="str">
        <x:v>WP17</x:v>
      </x:c>
      <x:c r="D256" s="12" t="str">
        <x:v>Raw JSON 운영화면 검사</x:v>
      </x:c>
      <x:c r="E256" s="12" t="str">
        <x:v>ADM/BZA build</x:v>
      </x:c>
      <x:c r="F256" s="12" t="str">
        <x:v>주요 운영 메뉴를 순회한다.</x:v>
      </x:c>
      <x:c r="G256" s="12" t="str">
        <x:v>기본 화면에 raw JSON &lt;pre&gt;가 없고 전용 component가 표시된다.</x:v>
      </x:c>
      <x:c r="H256" s="12" t="str">
        <x:v>screenshots, DOM scan</x:v>
      </x:c>
      <x:c r="I256" s="12" t="str">
        <x:v>Browser</x:v>
      </x:c>
    </x:row>
    <x:row r="257">
      <x:c r="A257" s="12" t="str">
        <x:v>CPF-QA-EXEC-D04-016</x:v>
      </x:c>
      <x:c r="B257" s="12" t="str">
        <x:v>UIX</x:v>
      </x:c>
      <x:c r="C257" s="12" t="str">
        <x:v>WP17</x:v>
      </x:c>
      <x:c r="D257" s="12" t="str">
        <x:v>Runtime Tree 대상 Preview</x:v>
      </x:c>
      <x:c r="E257" s="12" t="str">
        <x:v>다중 domain/service/instance</x:v>
      </x:c>
      <x:c r="F257" s="12" t="str">
        <x:v>상위 group을 선택해 preview한다.</x:v>
      </x:c>
      <x:c r="G257" s="12" t="str">
        <x:v>실제 하위 대상 snapshot과 상태 집계가 일치한다.</x:v>
      </x:c>
      <x:c r="H257" s="12" t="str">
        <x:v>browser, API payload</x:v>
      </x:c>
      <x:c r="I257" s="12" t="str">
        <x:v>Browser/Multi-instance</x:v>
      </x:c>
    </x:row>
    <x:row r="258">
      <x:c r="A258" s="12" t="str">
        <x:v>CPF-QA-EXEC-D04-017</x:v>
      </x:c>
      <x:c r="B258" s="12" t="str">
        <x:v>UIX</x:v>
      </x:c>
      <x:c r="C258" s="12" t="str">
        <x:v>WP17</x:v>
      </x:c>
      <x:c r="D258" s="12" t="str">
        <x:v>부분 실패 UX</x:v>
      </x:c>
      <x:c r="E258" s="12" t="str">
        <x:v>3 target 중 1 실패</x:v>
      </x:c>
      <x:c r="F258" s="12" t="str">
        <x:v>operation을 실행하고 실패 상세를 연다.</x:v>
      </x:c>
      <x:c r="G258" s="12" t="str">
        <x:v>실패 stage/reason/retry action과 성공 target이 함께 보인다.</x:v>
      </x:c>
      <x:c r="H258" s="12" t="str">
        <x:v>browser trace</x:v>
      </x:c>
      <x:c r="I258" s="12" t="str">
        <x:v>Browser</x:v>
      </x:c>
    </x:row>
    <x:row r="259">
      <x:c r="A259" s="12" t="str">
        <x:v>CPF-QA-EXEC-D04-018</x:v>
      </x:c>
      <x:c r="B259" s="12" t="str">
        <x:v>UIX</x:v>
      </x:c>
      <x:c r="C259" s="12" t="str">
        <x:v>WP17</x:v>
      </x:c>
      <x:c r="D259" s="12" t="str">
        <x:v>키보드 접근성</x:v>
      </x:c>
      <x:c r="E259" s="12" t="str">
        <x:v>ADM/BZA 주요 화면</x:v>
      </x:c>
      <x:c r="F259" s="12" t="str">
        <x:v>mouse 없이 tree/grid/modal/action을 조작한다.</x:v>
      </x:c>
      <x:c r="G259" s="12" t="str">
        <x:v>focus trap, aria, error announcement가 정상이다.</x:v>
      </x:c>
      <x:c r="H259" s="12" t="str">
        <x:v>accessibility report</x:v>
      </x:c>
      <x:c r="I259" s="12" t="str">
        <x:v>Browser</x:v>
      </x:c>
    </x:row>
    <x:row r="260">
      <x:c r="A260" s="12" t="str">
        <x:v>CPF-QA-EXEC-D04-019</x:v>
      </x:c>
      <x:c r="B260" s="12" t="str">
        <x:v>ACT</x:v>
      </x:c>
      <x:c r="C260" s="12" t="str">
        <x:v>WP18</x:v>
      </x:c>
      <x:c r="D260" s="12" t="str">
        <x:v>Generic WRITE 우회</x:v>
      </x:c>
      <x:c r="E260" s="12" t="str">
        <x:v>WRITE만 있고 ROLLBACK 없음</x:v>
      </x:c>
      <x:c r="F260" s="12" t="str">
        <x:v>rollback button과 direct API를 실행한다.</x:v>
      </x:c>
      <x:c r="G260" s="12" t="str">
        <x:v>UI 미노출/비활성 및 backend 403이다.</x:v>
      </x:c>
      <x:c r="H260" s="12" t="str">
        <x:v>browser/curl</x:v>
      </x:c>
      <x:c r="I260" s="12" t="str">
        <x:v>Security</x:v>
      </x:c>
    </x:row>
    <x:row r="261">
      <x:c r="A261" s="12" t="str">
        <x:v>CPF-QA-EXEC-D04-020</x:v>
      </x:c>
      <x:c r="B261" s="12" t="str">
        <x:v>ACT</x:v>
      </x:c>
      <x:c r="C261" s="12" t="str">
        <x:v>WP18</x:v>
      </x:c>
      <x:c r="D261" s="12" t="str">
        <x:v>HTTP Method 권한</x:v>
      </x:c>
      <x:c r="E261" s="12" t="str">
        <x:v>GET 허용, POST 거부</x:v>
      </x:c>
      <x:c r="F261" s="12" t="str">
        <x:v>같은 path에 GET/POST를 호출한다.</x:v>
      </x:c>
      <x:c r="G261" s="12" t="str">
        <x:v>GET만 성공하고 POST는 403이다.</x:v>
      </x:c>
      <x:c r="H261" s="12" t="str">
        <x:v>HTTP logs</x:v>
      </x:c>
      <x:c r="I261" s="12" t="str">
        <x:v>API</x:v>
      </x:c>
    </x:row>
    <x:row r="262">
      <x:c r="A262" s="12" t="str">
        <x:v>CPF-QA-EXEC-D04-021</x:v>
      </x:c>
      <x:c r="B262" s="12" t="str">
        <x:v>ACT</x:v>
      </x:c>
      <x:c r="C262" s="12" t="str">
        <x:v>WP18</x:v>
      </x:c>
      <x:c r="D262" s="12" t="str">
        <x:v>Deny 우선</x:v>
      </x:c>
      <x:c r="E262" s="12" t="str">
        <x:v>role allow + user deny</x:v>
      </x:c>
      <x:c r="F262" s="12" t="str">
        <x:v>해당 action을 실행한다.</x:v>
      </x:c>
      <x:c r="G262" s="12" t="str">
        <x:v>Deny가 우선하고 simulation과 실제 결과가 같다.</x:v>
      </x:c>
      <x:c r="H262" s="12" t="str">
        <x:v>permission trace</x:v>
      </x:c>
      <x:c r="I262" s="12" t="str">
        <x:v>Security</x:v>
      </x:c>
    </x:row>
    <x:row r="263">
      <x:c r="A263" s="12" t="str">
        <x:v>CPF-QA-EXEC-D04-022</x:v>
      </x:c>
      <x:c r="B263" s="12" t="str">
        <x:v>ACT</x:v>
      </x:c>
      <x:c r="C263" s="12" t="str">
        <x:v>WP18</x:v>
      </x:c>
      <x:c r="D263" s="12" t="str">
        <x:v>다른 조직 Data Scope</x:v>
      </x:c>
      <x:c r="E263" s="12" t="str">
        <x:v>조직 A 사용자</x:v>
      </x:c>
      <x:c r="F263" s="12" t="str">
        <x:v>조직 B resource ID로 조회/다운로드한다.</x:v>
      </x:c>
      <x:c r="G263" s="12" t="str">
        <x:v>목록·상세·파일 모두 차단된다.</x:v>
      </x:c>
      <x:c r="H263" s="12" t="str">
        <x:v>HTTP/browser</x:v>
      </x:c>
      <x:c r="I263" s="12" t="str">
        <x:v>Security</x:v>
      </x:c>
    </x:row>
    <x:row r="264">
      <x:c r="A264" s="12" t="str">
        <x:v>CPF-QA-EXEC-D04-023</x:v>
      </x:c>
      <x:c r="B264" s="12" t="str">
        <x:v>ACT</x:v>
      </x:c>
      <x:c r="C264" s="12" t="str">
        <x:v>WP18</x:v>
      </x:c>
      <x:c r="D264" s="12" t="str">
        <x:v>권한 변경 다중 WAS 전파</x:v>
      </x:c>
      <x:c r="E264" s="12" t="str">
        <x:v>2 WAS session</x:v>
      </x:c>
      <x:c r="F264" s="12" t="str">
        <x:v>권한 회수 후 기존 session으로 재호출한다.</x:v>
      </x:c>
      <x:c r="G264" s="12" t="str">
        <x:v>허용된 전파 window 내 두 WAS 모두 거부한다.</x:v>
      </x:c>
      <x:c r="H264" s="12" t="str">
        <x:v>session/cache ACK</x:v>
      </x:c>
      <x:c r="I264" s="12" t="str">
        <x:v>Multi-instance</x:v>
      </x:c>
    </x:row>
    <x:row r="265">
      <x:c r="A265" s="12" t="str">
        <x:v>CPF-QA-EXEC-D04-024</x:v>
      </x:c>
      <x:c r="B265" s="12" t="str">
        <x:v>XLDN</x:v>
      </x:c>
      <x:c r="C265" s="12" t="str">
        <x:v>WP19</x:v>
      </x:c>
      <x:c r="D265" s="12" t="str">
        <x:v>검색조건 전체 CSV</x:v>
      </x:c>
      <x:c r="E265" s="12" t="str">
        <x:v>server paging 데이터</x:v>
      </x:c>
      <x:c r="F265" s="12" t="str">
        <x:v>필터 후 전체 다운로드한다.</x:v>
      </x:c>
      <x:c r="G265" s="12" t="str">
        <x:v>모든 페이지의 필터 일치 데이터만 포함된다.</x:v>
      </x:c>
      <x:c r="H265" s="12" t="str">
        <x:v>file hash/count</x:v>
      </x:c>
      <x:c r="I265" s="12" t="str">
        <x:v>Browser/DB</x:v>
      </x:c>
    </x:row>
    <x:row r="266">
      <x:c r="A266" s="12" t="str">
        <x:v>CPF-QA-EXEC-D04-025</x:v>
      </x:c>
      <x:c r="B266" s="12" t="str">
        <x:v>XLDN</x:v>
      </x:c>
      <x:c r="C266" s="12" t="str">
        <x:v>WP19</x:v>
      </x:c>
      <x:c r="D266" s="12" t="str">
        <x:v>100만 건 Streaming</x:v>
      </x:c>
      <x:c r="E266" s="12" t="str">
        <x:v>대량 seed</x:v>
      </x:c>
      <x:c r="F266" s="12" t="str">
        <x:v>다운로드 시작 후 heap과 progress를 측정한다.</x:v>
      </x:c>
      <x:c r="G266" s="12" t="str">
        <x:v>bounded memory와 취소 가능성을 만족한다.</x:v>
      </x:c>
      <x:c r="H266" s="12" t="str">
        <x:v>heap profile, file</x:v>
      </x:c>
      <x:c r="I266" s="12" t="str">
        <x:v>Load</x:v>
      </x:c>
    </x:row>
    <x:row r="267">
      <x:c r="A267" s="12" t="str">
        <x:v>CPF-QA-EXEC-D04-026</x:v>
      </x:c>
      <x:c r="B267" s="12" t="str">
        <x:v>XLDN</x:v>
      </x:c>
      <x:c r="C267" s="12" t="str">
        <x:v>WP19</x:v>
      </x:c>
      <x:c r="D267" s="12" t="str">
        <x:v>Client Disconnect</x:v>
      </x:c>
      <x:c r="E267" s="12" t="str">
        <x:v>대량 streaming</x:v>
      </x:c>
      <x:c r="F267" s="12" t="str">
        <x:v>중간 연결을 끊는다.</x:v>
      </x:c>
      <x:c r="G267" s="12" t="str">
        <x:v>server 작업/임시파일이 정책대로 취소·정리된다.</x:v>
      </x:c>
      <x:c r="H267" s="12" t="str">
        <x:v>server logs, temp dir</x:v>
      </x:c>
      <x:c r="I267" s="12" t="str">
        <x:v>Fault</x:v>
      </x:c>
    </x:row>
    <x:row r="268">
      <x:c r="A268" s="12" t="str">
        <x:v>CPF-QA-EXEC-D04-027</x:v>
      </x:c>
      <x:c r="B268" s="12" t="str">
        <x:v>XLDN</x:v>
      </x:c>
      <x:c r="C268" s="12" t="str">
        <x:v>WP19</x:v>
      </x:c>
      <x:c r="D268" s="12" t="str">
        <x:v>Formula Injection</x:v>
      </x:c>
      <x:c r="E268" s="12" t="str">
        <x:v>위험 prefix 데이터</x:v>
      </x:c>
      <x:c r="F268" s="12" t="str">
        <x:v>CSV/XLSX를 생성해 열어본다.</x:v>
      </x:c>
      <x:c r="G268" s="12" t="str">
        <x:v>수식 실행 없이 안전한 literal로 표시된다.</x:v>
      </x:c>
      <x:c r="H268" s="12" t="str">
        <x:v>file sample</x:v>
      </x:c>
      <x:c r="I268" s="12" t="str">
        <x:v>Security</x:v>
      </x:c>
    </x:row>
    <x:row r="269">
      <x:c r="A269" s="12" t="str">
        <x:v>CPF-QA-EXEC-D04-028</x:v>
      </x:c>
      <x:c r="B269" s="12" t="str">
        <x:v>XLDN</x:v>
      </x:c>
      <x:c r="C269" s="12" t="str">
        <x:v>WP19</x:v>
      </x:c>
      <x:c r="D269" s="12" t="str">
        <x:v>민감 Download 승인 만료</x:v>
      </x:c>
      <x:c r="E269" s="12" t="str">
        <x:v>승인 후 TTL 경과</x:v>
      </x:c>
      <x:c r="F269" s="12" t="str">
        <x:v>파일 생성 또는 다운로드를 시도한다.</x:v>
      </x:c>
      <x:c r="G269" s="12" t="str">
        <x:v>실행/다운로드가 차단되고 감사된다.</x:v>
      </x:c>
      <x:c r="H269" s="12" t="str">
        <x:v>HTTP/audit</x:v>
      </x:c>
      <x:c r="I269" s="12" t="str">
        <x:v>Security</x:v>
      </x:c>
    </x:row>
    <x:row r="270">
      <x:c r="A270" s="12" t="str">
        <x:v>CPF-QA-EXEC-D04-029</x:v>
      </x:c>
      <x:c r="B270" s="12" t="str">
        <x:v>XLDN</x:v>
      </x:c>
      <x:c r="C270" s="12" t="str">
        <x:v>WP19</x:v>
      </x:c>
      <x:c r="D270" s="12" t="str">
        <x:v>3 Vendor Export parity</x:v>
      </x:c>
      <x:c r="E270" s="12" t="str">
        <x:v>동일 seed 3 DB</x:v>
      </x:c>
      <x:c r="F270" s="12" t="str">
        <x:v>동일 조건 파일을 생성한다.</x:v>
      </x:c>
      <x:c r="G270" s="12" t="str">
        <x:v>row/order/format 결과가 동등하다.</x:v>
      </x:c>
      <x:c r="H270" s="12" t="str">
        <x:v>hash/content diff</x:v>
      </x:c>
      <x:c r="I270" s="12" t="str">
        <x:v>DB</x:v>
      </x:c>
    </x:row>
    <x:row r="271">
      <x:c r="A271" s="12" t="str">
        <x:v>CPF-QA-EXEC-D04-030</x:v>
      </x:c>
      <x:c r="B271" s="12" t="str">
        <x:v>XLUP</x:v>
      </x:c>
      <x:c r="C271" s="12" t="str">
        <x:v>WP20</x:v>
      </x:c>
      <x:c r="D271" s="12" t="str">
        <x:v>Template 정상 업로드</x:v>
      </x:c>
      <x:c r="E271" s="12" t="str">
        <x:v>정상 template</x:v>
      </x:c>
      <x:c r="F271" s="12" t="str">
        <x:v>dry-run→승인→적용을 수행한다.</x:v>
      </x:c>
      <x:c r="G271" s="12" t="str">
        <x:v>preview와 DB 결과/행수/audit가 일치한다.</x:v>
      </x:c>
      <x:c r="H271" s="12" t="str">
        <x:v>job rows, DB</x:v>
      </x:c>
      <x:c r="I271" s="12" t="str">
        <x:v>Browser/DB</x:v>
      </x:c>
    </x:row>
    <x:row r="272">
      <x:c r="A272" s="12" t="str">
        <x:v>CPF-QA-EXEC-D04-031</x:v>
      </x:c>
      <x:c r="B272" s="12" t="str">
        <x:v>XLUP</x:v>
      </x:c>
      <x:c r="C272" s="12" t="str">
        <x:v>WP20</x:v>
      </x:c>
      <x:c r="D272" s="12" t="str">
        <x:v>구버전 Template</x:v>
      </x:c>
      <x:c r="E272" s="12" t="str">
        <x:v>old version file</x:v>
      </x:c>
      <x:c r="F272" s="12" t="str">
        <x:v>업로드한다.</x:v>
      </x:c>
      <x:c r="G272" s="12" t="str">
        <x:v>지원 정책대로 거부 또는 migration preview를 제공한다.</x:v>
      </x:c>
      <x:c r="H272" s="12" t="str">
        <x:v>error code</x:v>
      </x:c>
      <x:c r="I272" s="12" t="str">
        <x:v>API</x:v>
      </x:c>
    </x:row>
    <x:row r="273">
      <x:c r="A273" s="12" t="str">
        <x:v>CPF-QA-EXEC-D04-032</x:v>
      </x:c>
      <x:c r="B273" s="12" t="str">
        <x:v>XLUP</x:v>
      </x:c>
      <x:c r="C273" s="12" t="str">
        <x:v>WP20</x:v>
      </x:c>
      <x:c r="D273" s="12" t="str">
        <x:v>확장자 위조·ZIP Bomb</x:v>
      </x:c>
      <x:c r="E273" s="12" t="str">
        <x:v>악성 파일</x:v>
      </x:c>
      <x:c r="F273" s="12" t="str">
        <x:v>업로드한다.</x:v>
      </x:c>
      <x:c r="G273" s="12" t="str">
        <x:v>초기 단계에서 차단되고 원 거래/worker가 안정적이다.</x:v>
      </x:c>
      <x:c r="H273" s="12" t="str">
        <x:v>security logs</x:v>
      </x:c>
      <x:c r="I273" s="12" t="str">
        <x:v>Security</x:v>
      </x:c>
    </x:row>
    <x:row r="274">
      <x:c r="A274" s="12" t="str">
        <x:v>CPF-QA-EXEC-D04-033</x:v>
      </x:c>
      <x:c r="B274" s="12" t="str">
        <x:v>XLUP</x:v>
      </x:c>
      <x:c r="C274" s="12" t="str">
        <x:v>WP20</x:v>
      </x:c>
      <x:c r="D274" s="12" t="str">
        <x:v>파일 내부·DB 중복</x:v>
      </x:c>
      <x:c r="E274" s="12" t="str">
        <x:v>중복 row 포함</x:v>
      </x:c>
      <x:c r="F274" s="12" t="str">
        <x:v>dry-run과 apply를 수행한다.</x:v>
      </x:c>
      <x:c r="G274" s="12" t="str">
        <x:v>duplicate policy와 행별 오류가 정확하다.</x:v>
      </x:c>
      <x:c r="H274" s="12" t="str">
        <x:v>error file</x:v>
      </x:c>
      <x:c r="I274" s="12" t="str">
        <x:v>DB</x:v>
      </x:c>
    </x:row>
    <x:row r="275">
      <x:c r="A275" s="12" t="str">
        <x:v>CPF-QA-EXEC-D04-034</x:v>
      </x:c>
      <x:c r="B275" s="12" t="str">
        <x:v>XLUP</x:v>
      </x:c>
      <x:c r="C275" s="12" t="str">
        <x:v>WP20</x:v>
      </x:c>
      <x:c r="D275" s="12" t="str">
        <x:v>All-or-nothing 중간 실패</x:v>
      </x:c>
      <x:c r="E275" s="12" t="str">
        <x:v>중간 row DB 오류</x:v>
      </x:c>
      <x:c r="F275" s="12" t="str">
        <x:v>적용한다.</x:v>
      </x:c>
      <x:c r="G275" s="12" t="str">
        <x:v>전체 rollback되고 재실행 가능 상태다.</x:v>
      </x:c>
      <x:c r="H275" s="12" t="str">
        <x:v>DB counts, job state</x:v>
      </x:c>
      <x:c r="I275" s="12" t="str">
        <x:v>DB/Fault</x:v>
      </x:c>
    </x:row>
    <x:row r="276">
      <x:c r="A276" s="12" t="str">
        <x:v>CPF-QA-EXEC-D04-035</x:v>
      </x:c>
      <x:c r="B276" s="12" t="str">
        <x:v>XLUP</x:v>
      </x:c>
      <x:c r="C276" s="12" t="str">
        <x:v>WP20</x:v>
      </x:c>
      <x:c r="D276" s="12" t="str">
        <x:v>Partial Apply</x:v>
      </x:c>
      <x:c r="E276" s="12" t="str">
        <x:v>부분 허용 template</x:v>
      </x:c>
      <x:c r="F276" s="12" t="str">
        <x:v>일부 오류 파일을 적용한다.</x:v>
      </x:c>
      <x:c r="G276" s="12" t="str">
        <x:v>성공/실패 행과 오류파일, retry 대상이 정확하다.</x:v>
      </x:c>
      <x:c r="H276" s="12" t="str">
        <x:v>job/error file</x:v>
      </x:c>
      <x:c r="I276" s="12" t="str">
        <x:v>DB</x:v>
      </x:c>
    </x:row>
    <x:row r="277">
      <x:c r="A277" s="12" t="str">
        <x:v>CPF-QA-EXEC-D04-036</x:v>
      </x:c>
      <x:c r="B277" s="12" t="str">
        <x:v>XLUP</x:v>
      </x:c>
      <x:c r="C277" s="12" t="str">
        <x:v>WP20</x:v>
      </x:c>
      <x:c r="D277" s="12" t="str">
        <x:v>동일 operation 다른 파일</x:v>
      </x:c>
      <x:c r="E277" s="12" t="str">
        <x:v>같은 operationId, 다른 hash</x:v>
      </x:c>
      <x:c r="F277" s="12" t="str">
        <x:v>두 번째 요청을 보낸다.</x:v>
      </x:c>
      <x:c r="G277" s="12" t="str">
        <x:v>409 conflict이며 첫 결과를 오염시키지 않는다.</x:v>
      </x:c>
      <x:c r="H277" s="12" t="str">
        <x:v>HTTP/operation row</x:v>
      </x:c>
      <x:c r="I277" s="12" t="str">
        <x:v>API</x:v>
      </x:c>
    </x:row>
    <x:row r="278">
      <x:c r="A278" s="12" t="str">
        <x:v>CPF-QA-EXEC-D04-037</x:v>
      </x:c>
      <x:c r="B278" s="12" t="str">
        <x:v>XLUP</x:v>
      </x:c>
      <x:c r="C278" s="12" t="str">
        <x:v>WP20</x:v>
      </x:c>
      <x:c r="D278" s="12" t="str">
        <x:v>Worker Kill·Restart</x:v>
      </x:c>
      <x:c r="E278" s="12" t="str">
        <x:v>대량 upload job</x:v>
      </x:c>
      <x:c r="F278" s="12" t="str">
        <x:v>중간 worker kill 후 재기동한다.</x:v>
      </x:c>
      <x:c r="G278" s="12" t="str">
        <x:v>checkpoint에서 복구되고 중복 반영이 없다.</x:v>
      </x:c>
      <x:c r="H278" s="12" t="str">
        <x:v>process logs, DB</x:v>
      </x:c>
      <x:c r="I278" s="12" t="str">
        <x:v>Fault</x:v>
      </x:c>
    </x:row>
    <x:row r="279">
      <x:c r="A279" s="12" t="str">
        <x:v>CPF-QA-EXEC-D04-038</x:v>
      </x:c>
      <x:c r="B279" s="12" t="str">
        <x:v>RTCRES</x:v>
      </x:c>
      <x:c r="C279" s="12" t="str">
        <x:v>WP21</x:v>
      </x:c>
      <x:c r="D279" s="12" t="str">
        <x:v>대상별 부분 성공</x:v>
      </x:c>
      <x:c r="E279" s="12" t="str">
        <x:v>3 agent, 1 apply failure</x:v>
      </x:c>
      <x:c r="F279" s="12" t="str">
        <x:v>runtime change를 실행한다.</x:v>
      </x:c>
      <x:c r="G279" s="12" t="str">
        <x:v>전체 PARTIAL과 각 target result/failureStage가 조회된다.</x:v>
      </x:c>
      <x:c r="H279" s="12" t="str">
        <x:v>API/UI/DB</x:v>
      </x:c>
      <x:c r="I279" s="12" t="str">
        <x:v>Multi-instance</x:v>
      </x:c>
    </x:row>
    <x:row r="280">
      <x:c r="A280" s="12" t="str">
        <x:v>CPF-QA-EXEC-D04-039</x:v>
      </x:c>
      <x:c r="B280" s="12" t="str">
        <x:v>RTCRES</x:v>
      </x:c>
      <x:c r="C280" s="12" t="str">
        <x:v>WP21</x:v>
      </x:c>
      <x:c r="D280" s="12" t="str">
        <x:v>ACK 유실</x:v>
      </x:c>
      <x:c r="E280" s="12" t="str">
        <x:v>apply 성공 후 ACK network drop</x:v>
      </x:c>
      <x:c r="F280" s="12" t="str">
        <x:v>controller에서 조회/reconcile한다.</x:v>
      </x:c>
      <x:c r="G280" s="12" t="str">
        <x:v>UNKNOWN 또는 pending 후 실제상태 확인으로 정확히 종결된다.</x:v>
      </x:c>
      <x:c r="H280" s="12" t="str">
        <x:v>agent inbox, controller DB</x:v>
      </x:c>
      <x:c r="I280" s="12" t="str">
        <x:v>Fault</x:v>
      </x:c>
    </x:row>
    <x:row r="281">
      <x:c r="A281" s="12" t="str">
        <x:v>CPF-QA-EXEC-D04-040</x:v>
      </x:c>
      <x:c r="B281" s="12" t="str">
        <x:v>RTCRES</x:v>
      </x:c>
      <x:c r="C281" s="12" t="str">
        <x:v>WP21</x:v>
      </x:c>
      <x:c r="D281" s="12" t="str">
        <x:v>Approval 대상 Hash 불일치</x:v>
      </x:c>
      <x:c r="E281" s="12" t="str">
        <x:v>승인 후 membership 변경</x:v>
      </x:c>
      <x:c r="F281" s="12" t="str">
        <x:v>변경을 실행한다.</x:v>
      </x:c>
      <x:c r="G281" s="12" t="str">
        <x:v>승인 snapshot과 다르면 재승인을 요구한다.</x:v>
      </x:c>
      <x:c r="H281" s="12" t="str">
        <x:v>HTTP/audit</x:v>
      </x:c>
      <x:c r="I281" s="12" t="str">
        <x:v>Security</x:v>
      </x:c>
    </x:row>
    <x:row r="282">
      <x:c r="A282" s="12" t="str">
        <x:v>CPF-QA-EXEC-D04-041</x:v>
      </x:c>
      <x:c r="B282" s="12" t="str">
        <x:v>RTCRES</x:v>
      </x:c>
      <x:c r="C282" s="12" t="str">
        <x:v>WP21</x:v>
      </x:c>
      <x:c r="D282" s="12" t="str">
        <x:v>Break-glass 만료</x:v>
      </x:c>
      <x:c r="E282" s="12" t="str">
        <x:v>만료된 breakGlassId</x:v>
      </x:c>
      <x:c r="F282" s="12" t="str">
        <x:v>위험 변경을 실행한다.</x:v>
      </x:c>
      <x:c r="G282" s="12" t="str">
        <x:v>fail-closed하고 alert/audit가 남는다.</x:v>
      </x:c>
      <x:c r="H282" s="12" t="str">
        <x:v>HTTP/audit/alert</x:v>
      </x:c>
      <x:c r="I282" s="12" t="str">
        <x:v>Security</x:v>
      </x:c>
    </x:row>
    <x:row r="283">
      <x:c r="A283" s="12" t="str">
        <x:v>CPF-QA-EXEC-D04-042</x:v>
      </x:c>
      <x:c r="B283" s="12" t="str">
        <x:v>RTCRES</x:v>
      </x:c>
      <x:c r="C283" s="12" t="str">
        <x:v>WP21</x:v>
      </x:c>
      <x:c r="D283" s="12" t="str">
        <x:v>Retry 성공 Attempt 보존</x:v>
      </x:c>
      <x:c r="E283" s="12" t="str">
        <x:v>첫 apply 실패 후 retry 성공</x:v>
      </x:c>
      <x:c r="F283" s="12" t="str">
        <x:v>history를 조회한다.</x:v>
      </x:c>
      <x:c r="G283" s="12" t="str">
        <x:v>최초 실패와 성공 attempt 모두 보존된다.</x:v>
      </x:c>
      <x:c r="H283" s="12" t="str">
        <x:v>DB/UI timeline</x:v>
      </x:c>
      <x:c r="I283" s="12" t="str">
        <x:v>Runtime</x:v>
      </x:c>
    </x:row>
    <x:row r="284">
      <x:c r="A284" s="12" t="str">
        <x:v>CPF-QA-EXEC-D04-043</x:v>
      </x:c>
      <x:c r="B284" s="12" t="str">
        <x:v>RTCRES</x:v>
      </x:c>
      <x:c r="C284" s="12" t="str">
        <x:v>WP21</x:v>
      </x:c>
      <x:c r="D284" s="12" t="str">
        <x:v>Controller 재시작</x:v>
      </x:c>
      <x:c r="E284" s="12" t="str">
        <x:v>진행 중 change</x:v>
      </x:c>
      <x:c r="F284" s="12" t="str">
        <x:v>controller를 재기동한다.</x:v>
      </x:c>
      <x:c r="G284" s="12" t="str">
        <x:v>desired/delivery/result와 operation 조회가 복구된다.</x:v>
      </x:c>
      <x:c r="H284" s="12" t="str">
        <x:v>process/DB</x:v>
      </x:c>
      <x:c r="I284" s="12" t="str">
        <x:v>Fault</x:v>
      </x:c>
    </x:row>
    <x:row r="285">
      <x:c r="A285" s="12" t="str">
        <x:v>CPF-QA-EXEC-D04-044</x:v>
      </x:c>
      <x:c r="B285" s="12" t="str">
        <x:v>RTCRES</x:v>
      </x:c>
      <x:c r="C285" s="12" t="str">
        <x:v>WP21</x:v>
      </x:c>
      <x:c r="D285" s="12" t="str">
        <x:v>Agent Offline 복귀</x:v>
      </x:c>
      <x:c r="E285" s="12" t="str">
        <x:v>offline 중 change</x:v>
      </x:c>
      <x:c r="F285" s="12" t="str">
        <x:v>agent 복귀 후 reconcile한다.</x:v>
      </x:c>
      <x:c r="G285" s="12" t="str">
        <x:v>최신 desired에 도달하고 drift가 해소된다.</x:v>
      </x:c>
      <x:c r="H285" s="12" t="str">
        <x:v>ACK/version</x:v>
      </x:c>
      <x:c r="I285" s="12" t="str">
        <x:v>Multi-instance</x:v>
      </x:c>
    </x:row>
    <x:row r="286">
      <x:c r="A286" s="12" t="str">
        <x:v>CPF-QA-EXEC-D04-045</x:v>
      </x:c>
      <x:c r="B286" s="12" t="str">
        <x:v>RTCRES</x:v>
      </x:c>
      <x:c r="C286" s="12" t="str">
        <x:v>WP21</x:v>
      </x:c>
      <x:c r="D286" s="12" t="str">
        <x:v>Rollback 실패</x:v>
      </x:c>
      <x:c r="E286" s="12" t="str">
        <x:v>부분 적용 후 rollback 오류</x:v>
      </x:c>
      <x:c r="F286" s="12" t="str">
        <x:v>rollback을 실행한다.</x:v>
      </x:c>
      <x:c r="G286" s="12" t="str">
        <x:v>대상별 rollback failure와 forward recovery 안내가 표시된다.</x:v>
      </x:c>
      <x:c r="H286" s="12" t="str">
        <x:v>UI/API</x:v>
      </x:c>
      <x:c r="I286" s="12" t="str">
        <x:v>Fault</x:v>
      </x:c>
    </x:row>
    <x:row r="287">
      <x:c r="A287" s="12" t="str">
        <x:v>CPF-QA-EXEC-D04-046</x:v>
      </x:c>
      <x:c r="B287" s="12" t="str">
        <x:v>PKG</x:v>
      </x:c>
      <x:c r="C287" s="12" t="str">
        <x:v>WP22</x:v>
      </x:c>
      <x:c r="D287" s="12" t="str">
        <x:v>ACC/MBR/EXS normalized parity</x:v>
      </x:c>
      <x:c r="E287" s="12" t="str">
        <x:v>동일 capability 임시 domain 포함</x:v>
      </x:c>
      <x:c r="F287" s="12" t="str">
        <x:v>metadata 정규화 tree/hash를 비교한다.</x:v>
      </x:c>
      <x:c r="G287" s="12" t="str">
        <x:v>허용 metadata 외 drift가 0이다.</x:v>
      </x:c>
      <x:c r="H287" s="12" t="str">
        <x:v>hash report</x:v>
      </x:c>
      <x:c r="I287" s="12" t="str">
        <x:v>Generator</x:v>
      </x:c>
    </x:row>
    <x:row r="288">
      <x:c r="A288" s="12" t="str">
        <x:v>CPF-QA-EXEC-D04-047</x:v>
      </x:c>
      <x:c r="B288" s="12" t="str">
        <x:v>PKG</x:v>
      </x:c>
      <x:c r="C288" s="12" t="str">
        <x:v>WP22</x:v>
      </x:c>
      <x:c r="D288" s="12" t="str">
        <x:v>Production Source reference 유입</x:v>
      </x:c>
      <x:c r="E288" s="12" t="str">
        <x:v>generated domain source</x:v>
      </x:c>
      <x:c r="F288" s="12" t="str">
        <x:v>reference package의 업무 class를 탐지한다.</x:v>
      </x:c>
      <x:c r="G288" s="12" t="str">
        <x:v>Golden/EDU 외 유입이 Gate에서 실패한다.</x:v>
      </x:c>
      <x:c r="H288" s="12" t="str">
        <x:v>static report</x:v>
      </x:c>
      <x:c r="I288" s="12" t="str">
        <x:v>Static</x:v>
      </x:c>
    </x:row>
    <x:row r="289">
      <x:c r="A289" s="12" t="str">
        <x:v>CPF-QA-EXEC-D04-048</x:v>
      </x:c>
      <x:c r="B289" s="12" t="str">
        <x:v>PKG</x:v>
      </x:c>
      <x:c r="C289" s="12" t="str">
        <x:v>WP22</x:v>
      </x:c>
      <x:c r="D289" s="12" t="str">
        <x:v>Typed Contract Gate</x:v>
      </x:c>
      <x:c r="E289" s="12" t="str">
        <x:v>generated source</x:v>
      </x:c>
      <x:c r="F289" s="12" t="str">
        <x:v>public/port/controller의 Map&lt;String,Object&gt;를 탐지한다.</x:v>
      </x:c>
      <x:c r="G289" s="12" t="str">
        <x:v>허용 persistence 내부 외 0건이다.</x:v>
      </x:c>
      <x:c r="H289" s="12" t="str">
        <x:v>compile/static</x:v>
      </x:c>
      <x:c r="I289" s="12" t="str">
        <x:v>Build</x:v>
      </x:c>
    </x:row>
    <x:row r="290">
      <x:c r="A290" s="12" t="str">
        <x:v>CPF-QA-EXEC-D04-049</x:v>
      </x:c>
      <x:c r="B290" s="12" t="str">
        <x:v>PKG</x:v>
      </x:c>
      <x:c r="C290" s="12" t="str">
        <x:v>WP22</x:v>
      </x:c>
      <x:c r="D290" s="12" t="str">
        <x:v>QueryPort mutation 탐지</x:v>
      </x:c>
      <x:c r="E290" s="12" t="str">
        <x:v>generated source</x:v>
      </x:c>
      <x:c r="F290" s="12" t="str">
        <x:v>QueryPort의 create/update/delete method를 검사한다.</x:v>
      </x:c>
      <x:c r="G290" s="12" t="str">
        <x:v>정해진 command contract로 분리돼 있다.</x:v>
      </x:c>
      <x:c r="H290" s="12" t="str">
        <x:v>API report</x:v>
      </x:c>
      <x:c r="I290" s="12" t="str">
        <x:v>Static</x:v>
      </x:c>
    </x:row>
    <x:row r="291">
      <x:c r="A291" s="12" t="str">
        <x:v>CPF-QA-EXEC-D04-050</x:v>
      </x:c>
      <x:c r="B291" s="12" t="str">
        <x:v>PKG</x:v>
      </x:c>
      <x:c r="C291" s="12" t="str">
        <x:v>WP22</x:v>
      </x:c>
      <x:c r="D291" s="12" t="str">
        <x:v>사용자 코드 재생성 보호</x:v>
      </x:c>
      <x:c r="E291" s="12" t="str">
        <x:v>customer-owned 파일 수정</x:v>
      </x:c>
      <x:c r="F291" s="12" t="str">
        <x:v>generator dry-run/apply를 실행한다.</x:v>
      </x:c>
      <x:c r="G291" s="12" t="str">
        <x:v>사용자 파일을 덮어쓰지 않고 충돌을 보고한다.</x:v>
      </x:c>
      <x:c r="H291" s="12" t="str">
        <x:v>diff report</x:v>
      </x:c>
      <x:c r="I291" s="12" t="str">
        <x:v>Generator</x:v>
      </x:c>
    </x:row>
    <x:row r="292">
      <x:c r="A292" s="12" t="str">
        <x:v>CPF-QA-EXEC-D04-051</x:v>
      </x:c>
      <x:c r="B292" s="12" t="str">
        <x:v>HYG</x:v>
      </x:c>
      <x:c r="C292" s="12" t="str">
        <x:v>WP23</x:v>
      </x:c>
      <x:c r="D292" s="12" t="str">
        <x:v>Semantic Dead Code 후보</x:v>
      </x:c>
      <x:c r="E292" s="12" t="str">
        <x:v>repository 전체</x:v>
      </x:c>
      <x:c r="F292" s="12" t="str">
        <x:v>consumer graph와 reflection/config를 분석한다.</x:v>
      </x:c>
      <x:c r="G292" s="12" t="str">
        <x:v>후보마다 유지/이관/삭제 근거가 있다.</x:v>
      </x:c>
      <x:c r="H292" s="12" t="str">
        <x:v>matrix</x:v>
      </x:c>
      <x:c r="I292" s="12" t="str">
        <x:v>Static</x:v>
      </x:c>
    </x:row>
    <x:row r="293">
      <x:c r="A293" s="12" t="str">
        <x:v>CPF-QA-EXEC-D04-052</x:v>
      </x:c>
      <x:c r="B293" s="12" t="str">
        <x:v>HYG</x:v>
      </x:c>
      <x:c r="C293" s="12" t="str">
        <x:v>WP23</x:v>
      </x:c>
      <x:c r="D293" s="12" t="str">
        <x:v>Legacy 삭제 회귀</x:v>
      </x:c>
      <x:c r="E293" s="12" t="str">
        <x:v>선정 legacy change set</x:v>
      </x:c>
      <x:c r="F293" s="12" t="str">
        <x:v>consumer/test 이관 후 삭제하고 full build한다.</x:v>
      </x:c>
      <x:c r="G293" s="12" t="str">
        <x:v>old package/reference 0, 회귀 0이다.</x:v>
      </x:c>
      <x:c r="H293" s="12" t="str">
        <x:v>git diff, tests</x:v>
      </x:c>
      <x:c r="I293" s="12" t="str">
        <x:v>Build</x:v>
      </x:c>
    </x:row>
    <x:row r="294">
      <x:c r="A294" s="12" t="str">
        <x:v>CPF-QA-EXEC-D04-053</x:v>
      </x:c>
      <x:c r="B294" s="12" t="str">
        <x:v>HYG</x:v>
      </x:c>
      <x:c r="C294" s="12" t="str">
        <x:v>WP23</x:v>
      </x:c>
      <x:c r="D294" s="12" t="str">
        <x:v>고아 Route/Menu/API</x:v>
      </x:c>
      <x:c r="E294" s="12" t="str">
        <x:v>frontend/backend manifests</x:v>
      </x:c>
      <x:c r="F294" s="12" t="str">
        <x:v>양방향 비교한다.</x:v>
      </x:c>
      <x:c r="G294" s="12" t="str">
        <x:v>고아·중복 0건이다.</x:v>
      </x:c>
      <x:c r="H294" s="12" t="str">
        <x:v>parity report</x:v>
      </x:c>
      <x:c r="I294" s="12" t="str">
        <x:v>Static</x:v>
      </x:c>
    </x:row>
    <x:row r="295">
      <x:c r="A295" s="12" t="str">
        <x:v>CPF-QA-EXEC-D04-054</x:v>
      </x:c>
      <x:c r="B295" s="12" t="str">
        <x:v>HYG</x:v>
      </x:c>
      <x:c r="C295" s="12" t="str">
        <x:v>WP23</x:v>
      </x:c>
      <x:c r="D295" s="12" t="str">
        <x:v>Cleanup Dry-run·Apply</x:v>
      </x:c>
      <x:c r="E295" s="12" t="str">
        <x:v>garbage fixture</x:v>
      </x:c>
      <x:c r="F295" s="12" t="str">
        <x:v>dry-run 확인 후 apply, 재실행한다.</x:v>
      </x:c>
      <x:c r="G295" s="12" t="str">
        <x:v>허용 파일만 삭제되고 재실행 idempotent하다.</x:v>
      </x:c>
      <x:c r="H295" s="12" t="str">
        <x:v>deletion manifest</x:v>
      </x:c>
      <x:c r="I295" s="12" t="str">
        <x:v>Static</x:v>
      </x:c>
    </x:row>
    <x:row r="296">
      <x:c r="A296" s="12" t="str">
        <x:v>CPF-QA-EXEC-D04-055</x:v>
      </x:c>
      <x:c r="B296" s="12" t="str">
        <x:v>QAE</x:v>
      </x:c>
      <x:c r="C296" s="12" t="str">
        <x:v>WP24</x:v>
      </x:c>
      <x:c r="D296" s="12" t="str">
        <x:v>Source-confirmed와 미검증 분리</x:v>
      </x:c>
      <x:c r="E296" s="12" t="str">
        <x:v>Known gaps와 inventory</x:v>
      </x:c>
      <x:c r="F296" s="12" t="str">
        <x:v>각 행의 evidence type을 검사한다.</x:v>
      </x:c>
      <x:c r="G296" s="12" t="str">
        <x:v>SourceConfirmed/ReportedUnverified/NewRequirement가 구분된다.</x:v>
      </x:c>
      <x:c r="H296" s="12" t="str">
        <x:v>ledger validation</x:v>
      </x:c>
      <x:c r="I296" s="12" t="str">
        <x:v>Static</x:v>
      </x:c>
    </x:row>
    <x:row r="297">
      <x:c r="A297" s="12" t="str">
        <x:v>CPF-QA-EXEC-D04-056</x:v>
      </x:c>
      <x:c r="B297" s="12" t="str">
        <x:v>QAE</x:v>
      </x:c>
      <x:c r="C297" s="12" t="str">
        <x:v>WP24</x:v>
      </x:c>
      <x:c r="D297" s="12" t="str">
        <x:v>Evidence directory 누락</x:v>
      </x:c>
      <x:c r="E297" s="12" t="str">
        <x:v>release gate</x:v>
      </x:c>
      <x:c r="F297" s="12" t="str">
        <x:v>Evidence 디렉터리를 제거하고 Gate를 실행한다.</x:v>
      </x:c>
      <x:c r="G297" s="12" t="str">
        <x:v>옵션 없이도 실패한다.</x:v>
      </x:c>
      <x:c r="H297" s="12" t="str">
        <x:v>command output</x:v>
      </x:c>
      <x:c r="I297" s="12" t="str">
        <x:v>CI</x:v>
      </x:c>
    </x:row>
    <x:row r="298">
      <x:c r="A298" s="12" t="str">
        <x:v>CPF-QA-EXEC-D04-057</x:v>
      </x:c>
      <x:c r="B298" s="12" t="str">
        <x:v>QAE</x:v>
      </x:c>
      <x:c r="C298" s="12" t="str">
        <x:v>WP24</x:v>
      </x:c>
      <x:c r="D298" s="12" t="str">
        <x:v>Output file hash 위조</x:v>
      </x:c>
      <x:c r="E298" s="12" t="str">
        <x:v>evidence metadata hash 변경</x:v>
      </x:c>
      <x:c r="F298" s="12" t="str">
        <x:v>Gate를 실행한다.</x:v>
      </x:c>
      <x:c r="G298" s="12" t="str">
        <x:v>hash mismatch로 실패한다.</x:v>
      </x:c>
      <x:c r="H298" s="12" t="str">
        <x:v>gate log</x:v>
      </x:c>
      <x:c r="I298" s="12" t="str">
        <x:v>CI</x:v>
      </x:c>
    </x:row>
    <x:row r="299">
      <x:c r="A299" s="12" t="str">
        <x:v>CPF-QA-EXEC-D04-058</x:v>
      </x:c>
      <x:c r="B299" s="12" t="str">
        <x:v>QAE</x:v>
      </x:c>
      <x:c r="C299" s="12" t="str">
        <x:v>WP24</x:v>
      </x:c>
      <x:c r="D299" s="12" t="str">
        <x:v>최신 SHA 변경 후 Stale Evidence</x:v>
      </x:c>
      <x:c r="E299" s="12" t="str">
        <x:v>새 commit 생성 상태</x:v>
      </x:c>
      <x:c r="F299" s="12" t="str">
        <x:v>이전 evidence로 release gate를 실행한다.</x:v>
      </x:c>
      <x:c r="G299" s="12" t="str">
        <x:v>exact SHA mismatch로 실패한다.</x:v>
      </x:c>
      <x:c r="H299" s="12" t="str">
        <x:v>gate log</x:v>
      </x:c>
      <x:c r="I299" s="12" t="str">
        <x:v>CI</x:v>
      </x:c>
    </x:row>
    <x:row r="300">
      <x:c r="A300" s="12" t="str">
        <x:v>CPF-QA-EXEC-D04-059</x:v>
      </x:c>
      <x:c r="B300" s="12" t="str">
        <x:v>QAE</x:v>
      </x:c>
      <x:c r="C300" s="12" t="str">
        <x:v>WP24</x:v>
      </x:c>
      <x:c r="D300" s="12" t="str">
        <x:v>미실행 완료 보고 차단</x:v>
      </x:c>
      <x:c r="E300" s="12" t="str">
        <x:v>ledger에 미검증 존재</x:v>
      </x:c>
      <x:c r="F300" s="12" t="str">
        <x:v>완료 보고 생성 Gate를 실행한다.</x:v>
      </x:c>
      <x:c r="G300" s="12" t="str">
        <x:v>전체 완료 문구가 차단되고 blocker가 표시된다.</x:v>
      </x:c>
      <x:c r="H300" s="12" t="str">
        <x:v>report validation</x:v>
      </x:c>
      <x:c r="I300" s="12" t="str">
        <x:v>CI</x:v>
      </x:c>
    </x:row>
  </x:sheetData>
  <x:pageMargins left="0.7" right="0.7" top="0.75" bottom="0.75" header="0.3" footer="0.3"/>
  <x:tableParts count="1">
    <x:tablePart xmlns:r="http://schemas.openxmlformats.org/officeDocument/2006/relationships" r:id="R84c07b0f4d4543a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</x:cols>
  <x:sheetData>
    <x:row r="1">
      <x:c r="A1" s="6" t="str">
        <x:v>capability</x:v>
      </x:c>
      <x:c r="B1" s="6" t="str">
        <x:v>owner_module</x:v>
      </x:c>
      <x:c r="C1" s="6" t="str">
        <x:v>runtime_consumer</x:v>
      </x:c>
      <x:c r="D1" s="6" t="str">
        <x:v>target_scope</x:v>
      </x:c>
      <x:c r="E1" s="6" t="str">
        <x:v>managed_data</x:v>
      </x:c>
      <x:c r="F1" s="6" t="str">
        <x:v>current_state</x:v>
      </x:c>
      <x:c r="G1" s="6" t="str">
        <x:v>target_snapshot</x:v>
      </x:c>
      <x:c r="H1" s="6" t="str">
        <x:v>preview</x:v>
      </x:c>
      <x:c r="I1" s="6" t="str">
        <x:v>permission</x:v>
      </x:c>
      <x:c r="J1" s="6" t="str">
        <x:v>approval</x:v>
      </x:c>
      <x:c r="K1" s="6" t="str">
        <x:v>operation_id_cas</x:v>
      </x:c>
      <x:c r="L1" s="6" t="str">
        <x:v>desired</x:v>
      </x:c>
      <x:c r="M1" s="6" t="str">
        <x:v>delivery</x:v>
      </x:c>
      <x:c r="N1" s="6" t="str">
        <x:v>ack_actual</x:v>
      </x:c>
      <x:c r="O1" s="6" t="str">
        <x:v>drift</x:v>
      </x:c>
      <x:c r="P1" s="6" t="str">
        <x:v>retry</x:v>
      </x:c>
      <x:c r="Q1" s="6" t="str">
        <x:v>cancel</x:v>
      </x:c>
      <x:c r="R1" s="6" t="str">
        <x:v>rollback_reconcile</x:v>
      </x:c>
      <x:c r="S1" s="6" t="str">
        <x:v>restart_required</x:v>
      </x:c>
      <x:c r="T1" s="6" t="str">
        <x:v>audit_masking</x:v>
      </x:c>
      <x:c r="U1" s="6" t="str">
        <x:v>adm_ui</x:v>
      </x:c>
      <x:c r="V1" s="6" t="str">
        <x:v>runtime_tests</x:v>
      </x:c>
      <x:c r="W1" s="6" t="str">
        <x:v>evidence</x:v>
      </x:c>
      <x:c r="X1" s="6" t="str">
        <x:v>completion_prohibition</x:v>
      </x:c>
    </x:row>
    <x:row r="2">
      <x:c r="A2" s="12" t="str">
        <x:v>공통코드</x:v>
      </x:c>
      <x:c r="B2" s="12" t="str">
        <x:v>cpf-common / cpf-admin</x:v>
      </x:c>
      <x:c r="C2" s="12" t="str">
        <x:v>공통코드 조회 Consumer·업무 Domain</x:v>
      </x:c>
      <x:c r="D2" s="12" t="str">
        <x:v>Global·Environment·Domain·Group·Instance</x:v>
      </x:c>
      <x:c r="E2" s="12" t="str">
        <x:v>코드 그룹/값·시행기간·비활성·Cache Version</x:v>
      </x:c>
      <x:c r="F2" s="12" t="str">
        <x:v>Version/Hash/Status/UpdatedAt/Owner 조회</x:v>
      </x:c>
      <x:c r="G2" s="12" t="str">
        <x:v>Preview 시 대상 고정·Snapshot Hash</x:v>
      </x:c>
      <x:c r="H2" s="12" t="str">
        <x:v>전후값·영향·대상수·위험·Rollback 가능성</x:v>
      </x:c>
      <x:c r="I2" s="12" t="str">
        <x:v>Read/Write/Operate 분리·Tenant/Domain 격리</x:v>
      </x:c>
      <x:c r="J2" s="12" t="str">
        <x:v>고위험 Quorum·Expiry·Self Approval 금지·Break Glass 상한</x:v>
      </x:c>
      <x:c r="K2" s="12" t="str">
        <x:v>operationId+requestHash+expectedVersion/CAS</x:v>
      </x:c>
      <x:c r="L2" s="12" t="str">
        <x:v>Canonical Desired Version</x:v>
      </x:c>
      <x:c r="M2" s="12" t="str">
        <x:v>Durable Delivery·순서·중복 방지</x:v>
      </x:c>
      <x:c r="N2" s="12" t="str">
        <x:v>대상별 ACK/Actual Version/Hash/Error</x:v>
      </x:c>
      <x:c r="O2" s="12" t="str">
        <x:v>Desired-Actual/Backlog/Offline 표시</x:v>
      </x:c>
      <x:c r="P2" s="12" t="str">
        <x:v>실패 대상 bounded retry</x:v>
      </x:c>
      <x:c r="Q2" s="12" t="str">
        <x:v>예약/미적용 변경 취소</x:v>
      </x:c>
      <x:c r="R2" s="12" t="str">
        <x:v>Last Good 또는 Forward Recovery·Offline 복귀 Reconcile</x:v>
      </x:c>
      <x:c r="S2" s="12" t="str">
        <x:v>동적 적용/재기동 필요 구분</x:v>
      </x:c>
      <x:c r="T2" s="12" t="str">
        <x:v>사유·승인·전후 Hash·결과·민감정보 마스킹</x:v>
      </x:c>
      <x:c r="U2" s="12" t="str">
        <x:v>검색·Paging·상세·Preview·상태·Partial/Stale·조치</x:v>
      </x:c>
      <x:c r="V2" s="12" t="str">
        <x:v>정상·오류·경계·2+ Instance·재기동·부분 실패</x:v>
      </x:c>
      <x:c r="W2" s="12" t="str">
        <x:v>최신 SHA·명령·환경·로그·DB/API/UI·Hash</x:v>
      </x:c>
      <x:c r="X2" s="12" t="str">
        <x:v>DB 저장/버튼/API/Mock/현재 JVM 변경만으로 완료 금지</x:v>
      </x:c>
    </x:row>
    <x:row r="3">
      <x:c r="A3" s="12" t="str">
        <x:v>메시지·응답코드</x:v>
      </x:c>
      <x:c r="B3" s="12" t="str">
        <x:v>cpf-common / cpf-admin</x:v>
      </x:c>
      <x:c r="C3" s="12" t="str">
        <x:v>API 오류·정상 응답 Consumer</x:v>
      </x:c>
      <x:c r="D3" s="12" t="str">
        <x:v>Global·Environment·Domain·Group·Instance</x:v>
      </x:c>
      <x:c r="E3" s="12" t="str">
        <x:v>다국어 메시지·응답코드 Mapping·참조 무결성</x:v>
      </x:c>
      <x:c r="F3" s="12" t="str">
        <x:v>Version/Hash/Status/UpdatedAt/Owner 조회</x:v>
      </x:c>
      <x:c r="G3" s="12" t="str">
        <x:v>Preview 시 대상 고정·Snapshot Hash</x:v>
      </x:c>
      <x:c r="H3" s="12" t="str">
        <x:v>전후값·영향·대상수·위험·Rollback 가능성</x:v>
      </x:c>
      <x:c r="I3" s="12" t="str">
        <x:v>Read/Write/Operate 분리·Tenant/Domain 격리</x:v>
      </x:c>
      <x:c r="J3" s="12" t="str">
        <x:v>고위험 Quorum·Expiry·Self Approval 금지·Break Glass 상한</x:v>
      </x:c>
      <x:c r="K3" s="12" t="str">
        <x:v>operationId+requestHash+expectedVersion/CAS</x:v>
      </x:c>
      <x:c r="L3" s="12" t="str">
        <x:v>Canonical Desired Version</x:v>
      </x:c>
      <x:c r="M3" s="12" t="str">
        <x:v>Durable Delivery·순서·중복 방지</x:v>
      </x:c>
      <x:c r="N3" s="12" t="str">
        <x:v>대상별 ACK/Actual Version/Hash/Error</x:v>
      </x:c>
      <x:c r="O3" s="12" t="str">
        <x:v>Desired-Actual/Backlog/Offline 표시</x:v>
      </x:c>
      <x:c r="P3" s="12" t="str">
        <x:v>실패 대상 bounded retry</x:v>
      </x:c>
      <x:c r="Q3" s="12" t="str">
        <x:v>예약/미적용 변경 취소</x:v>
      </x:c>
      <x:c r="R3" s="12" t="str">
        <x:v>Last Good 또는 Forward Recovery·Offline 복귀 Reconcile</x:v>
      </x:c>
      <x:c r="S3" s="12" t="str">
        <x:v>동적 적용/재기동 필요 구분</x:v>
      </x:c>
      <x:c r="T3" s="12" t="str">
        <x:v>사유·승인·전후 Hash·결과·민감정보 마스킹</x:v>
      </x:c>
      <x:c r="U3" s="12" t="str">
        <x:v>검색·Paging·상세·Preview·상태·Partial/Stale·조치</x:v>
      </x:c>
      <x:c r="V3" s="12" t="str">
        <x:v>정상·오류·경계·2+ Instance·재기동·부분 실패</x:v>
      </x:c>
      <x:c r="W3" s="12" t="str">
        <x:v>최신 SHA·명령·환경·로그·DB/API/UI·Hash</x:v>
      </x:c>
      <x:c r="X3" s="12" t="str">
        <x:v>DB 저장/버튼/API/Mock/현재 JVM 변경만으로 완료 금지</x:v>
      </x:c>
    </x:row>
    <x:row r="4">
      <x:c r="A4" s="12" t="str">
        <x:v>설정·Parameter·Feature Flag</x:v>
      </x:c>
      <x:c r="B4" s="12" t="str">
        <x:v>cpf-core / cpf-common / cpf-admin</x:v>
      </x:c>
      <x:c r="C4" s="12" t="str">
        <x:v>Configuration Resolver·Feature Consumer</x:v>
      </x:c>
      <x:c r="D4" s="12" t="str">
        <x:v>Global·Environment·Domain·Group·Instance</x:v>
      </x:c>
      <x:c r="E4" s="12" t="str">
        <x:v>자료형·Schema·범위·우선순위·TTL·Restart Required</x:v>
      </x:c>
      <x:c r="F4" s="12" t="str">
        <x:v>Version/Hash/Status/UpdatedAt/Owner 조회</x:v>
      </x:c>
      <x:c r="G4" s="12" t="str">
        <x:v>Preview 시 대상 고정·Snapshot Hash</x:v>
      </x:c>
      <x:c r="H4" s="12" t="str">
        <x:v>전후값·영향·대상수·위험·Rollback 가능성</x:v>
      </x:c>
      <x:c r="I4" s="12" t="str">
        <x:v>Read/Write/Operate 분리·Tenant/Domain 격리</x:v>
      </x:c>
      <x:c r="J4" s="12" t="str">
        <x:v>고위험 Quorum·Expiry·Self Approval 금지·Break Glass 상한</x:v>
      </x:c>
      <x:c r="K4" s="12" t="str">
        <x:v>operationId+requestHash+expectedVersion/CAS</x:v>
      </x:c>
      <x:c r="L4" s="12" t="str">
        <x:v>Canonical Desired Version</x:v>
      </x:c>
      <x:c r="M4" s="12" t="str">
        <x:v>Durable Delivery·순서·중복 방지</x:v>
      </x:c>
      <x:c r="N4" s="12" t="str">
        <x:v>대상별 ACK/Actual Version/Hash/Error</x:v>
      </x:c>
      <x:c r="O4" s="12" t="str">
        <x:v>Desired-Actual/Backlog/Offline 표시</x:v>
      </x:c>
      <x:c r="P4" s="12" t="str">
        <x:v>실패 대상 bounded retry</x:v>
      </x:c>
      <x:c r="Q4" s="12" t="str">
        <x:v>예약/미적용 변경 취소</x:v>
      </x:c>
      <x:c r="R4" s="12" t="str">
        <x:v>Last Good 또는 Forward Recovery·Offline 복귀 Reconcile</x:v>
      </x:c>
      <x:c r="S4" s="12" t="str">
        <x:v>동적 적용/재기동 필요 구분</x:v>
      </x:c>
      <x:c r="T4" s="12" t="str">
        <x:v>사유·승인·전후 Hash·결과·민감정보 마스킹</x:v>
      </x:c>
      <x:c r="U4" s="12" t="str">
        <x:v>검색·Paging·상세·Preview·상태·Partial/Stale·조치</x:v>
      </x:c>
      <x:c r="V4" s="12" t="str">
        <x:v>정상·오류·경계·2+ Instance·재기동·부분 실패</x:v>
      </x:c>
      <x:c r="W4" s="12" t="str">
        <x:v>최신 SHA·명령·환경·로그·DB/API/UI·Hash</x:v>
      </x:c>
      <x:c r="X4" s="12" t="str">
        <x:v>DB 저장/버튼/API/Mock/현재 JVM 변경만으로 완료 금지</x:v>
      </x:c>
    </x:row>
    <x:row r="5">
      <x:c r="A5" s="12" t="str">
        <x:v>Cache</x:v>
      </x:c>
      <x:c r="B5" s="12" t="str">
        <x:v>cpf-core / cpf-common / cpf-admin</x:v>
      </x:c>
      <x:c r="C5" s="12" t="str">
        <x:v>Cache Resolver·업무 Consumer</x:v>
      </x:c>
      <x:c r="D5" s="12" t="str">
        <x:v>Domain·Cache Region·Group·Instance·Key</x:v>
      </x:c>
      <x:c r="E5" s="12" t="str">
        <x:v>상태·Version·항목수·Full/Delta Refresh·Key Evict</x:v>
      </x:c>
      <x:c r="F5" s="12" t="str">
        <x:v>Version/Hash/Status/UpdatedAt/Owner 조회</x:v>
      </x:c>
      <x:c r="G5" s="12" t="str">
        <x:v>Preview 시 대상 고정·Snapshot Hash</x:v>
      </x:c>
      <x:c r="H5" s="12" t="str">
        <x:v>전후값·영향·대상수·위험·Rollback 가능성</x:v>
      </x:c>
      <x:c r="I5" s="12" t="str">
        <x:v>Read/Write/Operate 분리·Tenant/Domain 격리</x:v>
      </x:c>
      <x:c r="J5" s="12" t="str">
        <x:v>고위험 Quorum·Expiry·Self Approval 금지·Break Glass 상한</x:v>
      </x:c>
      <x:c r="K5" s="12" t="str">
        <x:v>operationId+requestHash+expectedVersion/CAS</x:v>
      </x:c>
      <x:c r="L5" s="12" t="str">
        <x:v>Canonical Desired Version</x:v>
      </x:c>
      <x:c r="M5" s="12" t="str">
        <x:v>Durable Delivery·순서·중복 방지</x:v>
      </x:c>
      <x:c r="N5" s="12" t="str">
        <x:v>대상별 ACK/Actual Version/Hash/Error</x:v>
      </x:c>
      <x:c r="O5" s="12" t="str">
        <x:v>Desired-Actual/Backlog/Offline 표시</x:v>
      </x:c>
      <x:c r="P5" s="12" t="str">
        <x:v>실패 대상 bounded retry</x:v>
      </x:c>
      <x:c r="Q5" s="12" t="str">
        <x:v>예약/미적용 변경 취소</x:v>
      </x:c>
      <x:c r="R5" s="12" t="str">
        <x:v>Last Good 또는 Forward Recovery·Offline 복귀 Reconcile</x:v>
      </x:c>
      <x:c r="S5" s="12" t="str">
        <x:v>동적 적용/재기동 필요 구분</x:v>
      </x:c>
      <x:c r="T5" s="12" t="str">
        <x:v>사유·승인·전후 Hash·결과·민감정보 마스킹</x:v>
      </x:c>
      <x:c r="U5" s="12" t="str">
        <x:v>검색·Paging·상세·Preview·상태·Partial/Stale·조치</x:v>
      </x:c>
      <x:c r="V5" s="12" t="str">
        <x:v>정상·오류·경계·2+ Instance·재기동·부분 실패</x:v>
      </x:c>
      <x:c r="W5" s="12" t="str">
        <x:v>최신 SHA·명령·환경·로그·DB/API/UI·Hash</x:v>
      </x:c>
      <x:c r="X5" s="12" t="str">
        <x:v>DB 저장/버튼/API/Mock/현재 JVM 변경만으로 완료 금지</x:v>
      </x:c>
    </x:row>
    <x:row r="6">
      <x:c r="A6" s="12" t="str">
        <x:v>온라인 거래</x:v>
      </x:c>
      <x:c r="B6" s="12" t="str">
        <x:v>cpf-core / cpf-admin</x:v>
      </x:c>
      <x:c r="C6" s="12" t="str">
        <x:v>Online Transaction Engine·업무 Controller</x:v>
      </x:c>
      <x:c r="D6" s="12" t="str">
        <x:v>Domain·거래그룹·Transaction ID·Group·Instance</x:v>
      </x:c>
      <x:c r="E6" s="12" t="str">
        <x:v>Enable/Block/Drain/Maintenance·Timeout·Retry·Circuit·Rate Limit</x:v>
      </x:c>
      <x:c r="F6" s="12" t="str">
        <x:v>Version/Hash/Status/UpdatedAt/Owner 조회</x:v>
      </x:c>
      <x:c r="G6" s="12" t="str">
        <x:v>Preview 시 대상 고정·Snapshot Hash</x:v>
      </x:c>
      <x:c r="H6" s="12" t="str">
        <x:v>전후값·영향·대상수·위험·Rollback 가능성</x:v>
      </x:c>
      <x:c r="I6" s="12" t="str">
        <x:v>Read/Write/Operate 분리·Tenant/Domain 격리</x:v>
      </x:c>
      <x:c r="J6" s="12" t="str">
        <x:v>고위험 Quorum·Expiry·Self Approval 금지·Break Glass 상한</x:v>
      </x:c>
      <x:c r="K6" s="12" t="str">
        <x:v>operationId+requestHash+expectedVersion/CAS</x:v>
      </x:c>
      <x:c r="L6" s="12" t="str">
        <x:v>Canonical Desired Version</x:v>
      </x:c>
      <x:c r="M6" s="12" t="str">
        <x:v>Durable Delivery·순서·중복 방지</x:v>
      </x:c>
      <x:c r="N6" s="12" t="str">
        <x:v>대상별 ACK/Actual Version/Hash/Error</x:v>
      </x:c>
      <x:c r="O6" s="12" t="str">
        <x:v>Desired-Actual/Backlog/Offline 표시</x:v>
      </x:c>
      <x:c r="P6" s="12" t="str">
        <x:v>실패 대상 bounded retry</x:v>
      </x:c>
      <x:c r="Q6" s="12" t="str">
        <x:v>예약/미적용 변경 취소</x:v>
      </x:c>
      <x:c r="R6" s="12" t="str">
        <x:v>Last Good 또는 Forward Recovery·Offline 복귀 Reconcile</x:v>
      </x:c>
      <x:c r="S6" s="12" t="str">
        <x:v>동적 적용/재기동 필요 구분</x:v>
      </x:c>
      <x:c r="T6" s="12" t="str">
        <x:v>사유·승인·전후 Hash·결과·민감정보 마스킹</x:v>
      </x:c>
      <x:c r="U6" s="12" t="str">
        <x:v>검색·Paging·상세·Preview·상태·Partial/Stale·조치</x:v>
      </x:c>
      <x:c r="V6" s="12" t="str">
        <x:v>정상·오류·경계·2+ Instance·재기동·부분 실패</x:v>
      </x:c>
      <x:c r="W6" s="12" t="str">
        <x:v>최신 SHA·명령·환경·로그·DB/API/UI·Hash</x:v>
      </x:c>
      <x:c r="X6" s="12" t="str">
        <x:v>DB 저장/버튼/API/Mock/현재 JVM 변경만으로 완료 금지</x:v>
      </x:c>
    </x:row>
    <x:row r="7">
      <x:c r="A7" s="12" t="str">
        <x:v>Local·Remote Service Call</x:v>
      </x:c>
      <x:c r="B7" s="12" t="str">
        <x:v>cpf-core / cpf-gateway / cpf-admin</x:v>
      </x:c>
      <x:c r="C7" s="12" t="str">
        <x:v>ServiceCall Engine·Generated Domain Client</x:v>
      </x:c>
      <x:c r="D7" s="12" t="str">
        <x:v>Service·Endpoint·Zone·Cell·Group·Instance</x:v>
      </x:c>
      <x:c r="E7" s="12" t="str">
        <x:v>Local Facade·Remote Facade·Timeout·Retry·Failover·UNKNOWN_RESULT</x:v>
      </x:c>
      <x:c r="F7" s="12" t="str">
        <x:v>Version/Hash/Status/UpdatedAt/Owner 조회</x:v>
      </x:c>
      <x:c r="G7" s="12" t="str">
        <x:v>Preview 시 대상 고정·Snapshot Hash</x:v>
      </x:c>
      <x:c r="H7" s="12" t="str">
        <x:v>전후값·영향·대상수·위험·Rollback 가능성</x:v>
      </x:c>
      <x:c r="I7" s="12" t="str">
        <x:v>Read/Write/Operate 분리·Tenant/Domain 격리</x:v>
      </x:c>
      <x:c r="J7" s="12" t="str">
        <x:v>고위험 Quorum·Expiry·Self Approval 금지·Break Glass 상한</x:v>
      </x:c>
      <x:c r="K7" s="12" t="str">
        <x:v>operationId+requestHash+expectedVersion/CAS</x:v>
      </x:c>
      <x:c r="L7" s="12" t="str">
        <x:v>Canonical Desired Version</x:v>
      </x:c>
      <x:c r="M7" s="12" t="str">
        <x:v>Durable Delivery·순서·중복 방지</x:v>
      </x:c>
      <x:c r="N7" s="12" t="str">
        <x:v>대상별 ACK/Actual Version/Hash/Error</x:v>
      </x:c>
      <x:c r="O7" s="12" t="str">
        <x:v>Desired-Actual/Backlog/Offline 표시</x:v>
      </x:c>
      <x:c r="P7" s="12" t="str">
        <x:v>실패 대상 bounded retry</x:v>
      </x:c>
      <x:c r="Q7" s="12" t="str">
        <x:v>예약/미적용 변경 취소</x:v>
      </x:c>
      <x:c r="R7" s="12" t="str">
        <x:v>Last Good 또는 Forward Recovery·Offline 복귀 Reconcile</x:v>
      </x:c>
      <x:c r="S7" s="12" t="str">
        <x:v>동적 적용/재기동 필요 구분</x:v>
      </x:c>
      <x:c r="T7" s="12" t="str">
        <x:v>사유·승인·전후 Hash·결과·민감정보 마스킹</x:v>
      </x:c>
      <x:c r="U7" s="12" t="str">
        <x:v>검색·Paging·상세·Preview·상태·Partial/Stale·조치</x:v>
      </x:c>
      <x:c r="V7" s="12" t="str">
        <x:v>정상·오류·경계·2+ Instance·재기동·부분 실패</x:v>
      </x:c>
      <x:c r="W7" s="12" t="str">
        <x:v>최신 SHA·명령·환경·로그·DB/API/UI·Hash</x:v>
      </x:c>
      <x:c r="X7" s="12" t="str">
        <x:v>DB 저장/버튼/API/Mock/현재 JVM 변경만으로 완료 금지</x:v>
      </x:c>
    </x:row>
    <x:row r="8">
      <x:c r="A8" s="12" t="str">
        <x:v>Gateway</x:v>
      </x:c>
      <x:c r="B8" s="12" t="str">
        <x:v>cpf-gateway / cpf-admin</x:v>
      </x:c>
      <x:c r="C8" s="12" t="str">
        <x:v>Gateway Proxy·Route Consumer</x:v>
      </x:c>
      <x:c r="D8" s="12" t="str">
        <x:v>Route·Service·Zone·Cell·Group·Instance</x:v>
      </x:c>
      <x:c r="E8" s="12" t="str">
        <x:v>Method·Header·Auth·Weight·Priority·Streaming·Canary·Rollback</x:v>
      </x:c>
      <x:c r="F8" s="12" t="str">
        <x:v>Version/Hash/Status/UpdatedAt/Owner 조회</x:v>
      </x:c>
      <x:c r="G8" s="12" t="str">
        <x:v>Preview 시 대상 고정·Snapshot Hash</x:v>
      </x:c>
      <x:c r="H8" s="12" t="str">
        <x:v>전후값·영향·대상수·위험·Rollback 가능성</x:v>
      </x:c>
      <x:c r="I8" s="12" t="str">
        <x:v>Read/Write/Operate 분리·Tenant/Domain 격리</x:v>
      </x:c>
      <x:c r="J8" s="12" t="str">
        <x:v>고위험 Quorum·Expiry·Self Approval 금지·Break Glass 상한</x:v>
      </x:c>
      <x:c r="K8" s="12" t="str">
        <x:v>operationId+requestHash+expectedVersion/CAS</x:v>
      </x:c>
      <x:c r="L8" s="12" t="str">
        <x:v>Canonical Desired Version</x:v>
      </x:c>
      <x:c r="M8" s="12" t="str">
        <x:v>Durable Delivery·순서·중복 방지</x:v>
      </x:c>
      <x:c r="N8" s="12" t="str">
        <x:v>대상별 ACK/Actual Version/Hash/Error</x:v>
      </x:c>
      <x:c r="O8" s="12" t="str">
        <x:v>Desired-Actual/Backlog/Offline 표시</x:v>
      </x:c>
      <x:c r="P8" s="12" t="str">
        <x:v>실패 대상 bounded retry</x:v>
      </x:c>
      <x:c r="Q8" s="12" t="str">
        <x:v>예약/미적용 변경 취소</x:v>
      </x:c>
      <x:c r="R8" s="12" t="str">
        <x:v>Last Good 또는 Forward Recovery·Offline 복귀 Reconcile</x:v>
      </x:c>
      <x:c r="S8" s="12" t="str">
        <x:v>동적 적용/재기동 필요 구분</x:v>
      </x:c>
      <x:c r="T8" s="12" t="str">
        <x:v>사유·승인·전후 Hash·결과·민감정보 마스킹</x:v>
      </x:c>
      <x:c r="U8" s="12" t="str">
        <x:v>검색·Paging·상세·Preview·상태·Partial/Stale·조치</x:v>
      </x:c>
      <x:c r="V8" s="12" t="str">
        <x:v>정상·오류·경계·2+ Instance·재기동·부분 실패</x:v>
      </x:c>
      <x:c r="W8" s="12" t="str">
        <x:v>최신 SHA·명령·환경·로그·DB/API/UI·Hash</x:v>
      </x:c>
      <x:c r="X8" s="12" t="str">
        <x:v>DB 저장/버튼/API/Mock/현재 JVM 변경만으로 완료 금지</x:v>
      </x:c>
    </x:row>
    <x:row r="9">
      <x:c r="A9" s="12" t="str">
        <x:v>로그·추적</x:v>
      </x:c>
      <x:c r="B9" s="12" t="str">
        <x:v>cpf-core / cpf-admin</x:v>
      </x:c>
      <x:c r="C9" s="12" t="str">
        <x:v>Logging Engine·Trace Consumer</x:v>
      </x:c>
      <x:c r="D9" s="12" t="str">
        <x:v>Logger·Package·Domain·Transaction·Group·Instance</x:v>
      </x:c>
      <x:c r="E9" s="12" t="str">
        <x:v>Log Level·Sampling·Trace Boost·Masking·TTL·Desired/Actual</x:v>
      </x:c>
      <x:c r="F9" s="12" t="str">
        <x:v>Version/Hash/Status/UpdatedAt/Owner 조회</x:v>
      </x:c>
      <x:c r="G9" s="12" t="str">
        <x:v>Preview 시 대상 고정·Snapshot Hash</x:v>
      </x:c>
      <x:c r="H9" s="12" t="str">
        <x:v>전후값·영향·대상수·위험·Rollback 가능성</x:v>
      </x:c>
      <x:c r="I9" s="12" t="str">
        <x:v>Read/Write/Operate 분리·Tenant/Domain 격리</x:v>
      </x:c>
      <x:c r="J9" s="12" t="str">
        <x:v>고위험 Quorum·Expiry·Self Approval 금지·Break Glass 상한</x:v>
      </x:c>
      <x:c r="K9" s="12" t="str">
        <x:v>operationId+requestHash+expectedVersion/CAS</x:v>
      </x:c>
      <x:c r="L9" s="12" t="str">
        <x:v>Canonical Desired Version</x:v>
      </x:c>
      <x:c r="M9" s="12" t="str">
        <x:v>Durable Delivery·순서·중복 방지</x:v>
      </x:c>
      <x:c r="N9" s="12" t="str">
        <x:v>대상별 ACK/Actual Version/Hash/Error</x:v>
      </x:c>
      <x:c r="O9" s="12" t="str">
        <x:v>Desired-Actual/Backlog/Offline 표시</x:v>
      </x:c>
      <x:c r="P9" s="12" t="str">
        <x:v>실패 대상 bounded retry</x:v>
      </x:c>
      <x:c r="Q9" s="12" t="str">
        <x:v>예약/미적용 변경 취소</x:v>
      </x:c>
      <x:c r="R9" s="12" t="str">
        <x:v>Last Good 또는 Forward Recovery·Offline 복귀 Reconcile</x:v>
      </x:c>
      <x:c r="S9" s="12" t="str">
        <x:v>동적 적용/재기동 필요 구분</x:v>
      </x:c>
      <x:c r="T9" s="12" t="str">
        <x:v>사유·승인·전후 Hash·결과·민감정보 마스킹</x:v>
      </x:c>
      <x:c r="U9" s="12" t="str">
        <x:v>검색·Paging·상세·Preview·상태·Partial/Stale·조치</x:v>
      </x:c>
      <x:c r="V9" s="12" t="str">
        <x:v>정상·오류·경계·2+ Instance·재기동·부분 실패</x:v>
      </x:c>
      <x:c r="W9" s="12" t="str">
        <x:v>최신 SHA·명령·환경·로그·DB/API/UI·Hash</x:v>
      </x:c>
      <x:c r="X9" s="12" t="str">
        <x:v>DB 저장/버튼/API/Mock/현재 JVM 변경만으로 완료 금지</x:v>
      </x:c>
    </x:row>
    <x:row r="10">
      <x:c r="A10" s="12" t="str">
        <x:v>Batch·Scheduler·Worker·Center-Cut·Agent</x:v>
      </x:c>
      <x:c r="B10" s="12" t="str">
        <x:v>cpf-batch / cpf-admin</x:v>
      </x:c>
      <x:c r="C10" s="12" t="str">
        <x:v>Control Server·Scheduler·Worker·Runner·Agent</x:v>
      </x:c>
      <x:c r="D10" s="12" t="str">
        <x:v>Job·Step·Chunk·Partition·Pool·Group·Instance</x:v>
      </x:c>
      <x:c r="E10" s="12" t="str">
        <x:v>Run/Stop/Pause/Resume/Cancel·Lock·Ghost·Checkpoint·Reprocess</x:v>
      </x:c>
      <x:c r="F10" s="12" t="str">
        <x:v>Version/Hash/Status/UpdatedAt/Owner 조회</x:v>
      </x:c>
      <x:c r="G10" s="12" t="str">
        <x:v>Preview 시 대상 고정·Snapshot Hash</x:v>
      </x:c>
      <x:c r="H10" s="12" t="str">
        <x:v>전후값·영향·대상수·위험·Rollback 가능성</x:v>
      </x:c>
      <x:c r="I10" s="12" t="str">
        <x:v>Read/Write/Operate 분리·Tenant/Domain 격리</x:v>
      </x:c>
      <x:c r="J10" s="12" t="str">
        <x:v>고위험 Quorum·Expiry·Self Approval 금지·Break Glass 상한</x:v>
      </x:c>
      <x:c r="K10" s="12" t="str">
        <x:v>operationId+requestHash+expectedVersion/CAS</x:v>
      </x:c>
      <x:c r="L10" s="12" t="str">
        <x:v>Canonical Desired Version</x:v>
      </x:c>
      <x:c r="M10" s="12" t="str">
        <x:v>Durable Delivery·순서·중복 방지</x:v>
      </x:c>
      <x:c r="N10" s="12" t="str">
        <x:v>대상별 ACK/Actual Version/Hash/Error</x:v>
      </x:c>
      <x:c r="O10" s="12" t="str">
        <x:v>Desired-Actual/Backlog/Offline 표시</x:v>
      </x:c>
      <x:c r="P10" s="12" t="str">
        <x:v>실패 대상 bounded retry</x:v>
      </x:c>
      <x:c r="Q10" s="12" t="str">
        <x:v>예약/미적용 변경 취소</x:v>
      </x:c>
      <x:c r="R10" s="12" t="str">
        <x:v>Last Good 또는 Forward Recovery·Offline 복귀 Reconcile</x:v>
      </x:c>
      <x:c r="S10" s="12" t="str">
        <x:v>동적 적용/재기동 필요 구분</x:v>
      </x:c>
      <x:c r="T10" s="12" t="str">
        <x:v>사유·승인·전후 Hash·결과·민감정보 마스킹</x:v>
      </x:c>
      <x:c r="U10" s="12" t="str">
        <x:v>검색·Paging·상세·Preview·상태·Partial/Stale·조치</x:v>
      </x:c>
      <x:c r="V10" s="12" t="str">
        <x:v>정상·오류·경계·2+ Instance·재기동·부분 실패</x:v>
      </x:c>
      <x:c r="W10" s="12" t="str">
        <x:v>최신 SHA·명령·환경·로그·DB/API/UI·Hash</x:v>
      </x:c>
      <x:c r="X10" s="12" t="str">
        <x:v>DB 저장/버튼/API/Mock/현재 JVM 변경만으로 완료 금지</x:v>
      </x:c>
    </x:row>
    <x:row r="11">
      <x:c r="A11" s="12" t="str">
        <x:v>Security Runtime Policy</x:v>
      </x:c>
      <x:c r="B11" s="12" t="str">
        <x:v>cpf-core / cpf-admin / cpf-biz-admin</x:v>
      </x:c>
      <x:c r="C11" s="12" t="str">
        <x:v>AuthN/AuthZ·Masking·Secret Consumer</x:v>
      </x:c>
      <x:c r="D11" s="12" t="str">
        <x:v>Environment·Domain·Group·Instance·Principal</x:v>
      </x:c>
      <x:c r="E11" s="12" t="str">
        <x:v>Permission·Masking·JWT Key·Certificate·Secret Ref·Rotation</x:v>
      </x:c>
      <x:c r="F11" s="12" t="str">
        <x:v>Version/Hash/Status/UpdatedAt/Owner 조회</x:v>
      </x:c>
      <x:c r="G11" s="12" t="str">
        <x:v>Preview 시 대상 고정·Snapshot Hash</x:v>
      </x:c>
      <x:c r="H11" s="12" t="str">
        <x:v>전후값·영향·대상수·위험·Rollback 가능성</x:v>
      </x:c>
      <x:c r="I11" s="12" t="str">
        <x:v>Read/Write/Operate 분리·Tenant/Domain 격리</x:v>
      </x:c>
      <x:c r="J11" s="12" t="str">
        <x:v>고위험 Quorum·Expiry·Self Approval 금지·Break Glass 상한</x:v>
      </x:c>
      <x:c r="K11" s="12" t="str">
        <x:v>operationId+requestHash+expectedVersion/CAS</x:v>
      </x:c>
      <x:c r="L11" s="12" t="str">
        <x:v>Canonical Desired Version</x:v>
      </x:c>
      <x:c r="M11" s="12" t="str">
        <x:v>Durable Delivery·순서·중복 방지</x:v>
      </x:c>
      <x:c r="N11" s="12" t="str">
        <x:v>대상별 ACK/Actual Version/Hash/Error</x:v>
      </x:c>
      <x:c r="O11" s="12" t="str">
        <x:v>Desired-Actual/Backlog/Offline 표시</x:v>
      </x:c>
      <x:c r="P11" s="12" t="str">
        <x:v>실패 대상 bounded retry</x:v>
      </x:c>
      <x:c r="Q11" s="12" t="str">
        <x:v>예약/미적용 변경 취소</x:v>
      </x:c>
      <x:c r="R11" s="12" t="str">
        <x:v>Last Good 또는 Forward Recovery·Offline 복귀 Reconcile</x:v>
      </x:c>
      <x:c r="S11" s="12" t="str">
        <x:v>동적 적용/재기동 필요 구분</x:v>
      </x:c>
      <x:c r="T11" s="12" t="str">
        <x:v>사유·승인·전후 Hash·결과·민감정보 마스킹</x:v>
      </x:c>
      <x:c r="U11" s="12" t="str">
        <x:v>검색·Paging·상세·Preview·상태·Partial/Stale·조치</x:v>
      </x:c>
      <x:c r="V11" s="12" t="str">
        <x:v>정상·오류·경계·2+ Instance·재기동·부분 실패</x:v>
      </x:c>
      <x:c r="W11" s="12" t="str">
        <x:v>최신 SHA·명령·환경·로그·DB/API/UI·Hash</x:v>
      </x:c>
      <x:c r="X11" s="12" t="str">
        <x:v>DB 저장/버튼/API/Mock/현재 JVM 변경만으로 완료 금지</x:v>
      </x:c>
    </x:row>
    <x:row r="12">
      <x:c r="A12" s="12" t="str">
        <x:v>외부연계·Messaging·File</x:v>
      </x:c>
      <x:c r="B12" s="12" t="str">
        <x:v>cpf-core / generated domain / cpf-admin</x:v>
      </x:c>
      <x:c r="C12" s="12" t="str">
        <x:v>HTTP/TCP/SOAP/gRPC·Broker·File Adapter</x:v>
      </x:c>
      <x:c r="D12" s="12" t="str">
        <x:v>Provider·Endpoint·Consumer Group·Group·Instance</x:v>
      </x:c>
      <x:c r="E12" s="12" t="str">
        <x:v>Timeout·Retry·DLQ·Concurrency·SFTP/File/Webhook·Simulator</x:v>
      </x:c>
      <x:c r="F12" s="12" t="str">
        <x:v>Version/Hash/Status/UpdatedAt/Owner 조회</x:v>
      </x:c>
      <x:c r="G12" s="12" t="str">
        <x:v>Preview 시 대상 고정·Snapshot Hash</x:v>
      </x:c>
      <x:c r="H12" s="12" t="str">
        <x:v>전후값·영향·대상수·위험·Rollback 가능성</x:v>
      </x:c>
      <x:c r="I12" s="12" t="str">
        <x:v>Read/Write/Operate 분리·Tenant/Domain 격리</x:v>
      </x:c>
      <x:c r="J12" s="12" t="str">
        <x:v>고위험 Quorum·Expiry·Self Approval 금지·Break Glass 상한</x:v>
      </x:c>
      <x:c r="K12" s="12" t="str">
        <x:v>operationId+requestHash+expectedVersion/CAS</x:v>
      </x:c>
      <x:c r="L12" s="12" t="str">
        <x:v>Canonical Desired Version</x:v>
      </x:c>
      <x:c r="M12" s="12" t="str">
        <x:v>Durable Delivery·순서·중복 방지</x:v>
      </x:c>
      <x:c r="N12" s="12" t="str">
        <x:v>대상별 ACK/Actual Version/Hash/Error</x:v>
      </x:c>
      <x:c r="O12" s="12" t="str">
        <x:v>Desired-Actual/Backlog/Offline 표시</x:v>
      </x:c>
      <x:c r="P12" s="12" t="str">
        <x:v>실패 대상 bounded retry</x:v>
      </x:c>
      <x:c r="Q12" s="12" t="str">
        <x:v>예약/미적용 변경 취소</x:v>
      </x:c>
      <x:c r="R12" s="12" t="str">
        <x:v>Last Good 또는 Forward Recovery·Offline 복귀 Reconcile</x:v>
      </x:c>
      <x:c r="S12" s="12" t="str">
        <x:v>동적 적용/재기동 필요 구분</x:v>
      </x:c>
      <x:c r="T12" s="12" t="str">
        <x:v>사유·승인·전후 Hash·결과·민감정보 마스킹</x:v>
      </x:c>
      <x:c r="U12" s="12" t="str">
        <x:v>검색·Paging·상세·Preview·상태·Partial/Stale·조치</x:v>
      </x:c>
      <x:c r="V12" s="12" t="str">
        <x:v>정상·오류·경계·2+ Instance·재기동·부분 실패</x:v>
      </x:c>
      <x:c r="W12" s="12" t="str">
        <x:v>최신 SHA·명령·환경·로그·DB/API/UI·Hash</x:v>
      </x:c>
      <x:c r="X12" s="12" t="str">
        <x:v>DB 저장/버튼/API/Mock/현재 JVM 변경만으로 완료 금지</x:v>
      </x:c>
    </x:row>
    <x:row r="13">
      <x:c r="A13" s="12" t="str">
        <x:v>인스턴스·그룹 관리</x:v>
      </x:c>
      <x:c r="B13" s="12" t="str">
        <x:v>cpf-admin / cpf-core / cpf-batch</x:v>
      </x:c>
      <x:c r="C13" s="12" t="str">
        <x:v>Runtime Registration·Routing·Control Plane</x:v>
      </x:c>
      <x:c r="D13" s="12" t="str">
        <x:v>Environment→Cluster→Domain/System→Application Group→Role→Instance</x:v>
      </x:c>
      <x:c r="E13" s="12" t="str">
        <x:v>Membership·Heartbeat·Lease·Fencing·Version Mix·Capacity</x:v>
      </x:c>
      <x:c r="F13" s="12" t="str">
        <x:v>Version/Hash/Status/UpdatedAt/Owner 조회</x:v>
      </x:c>
      <x:c r="G13" s="12" t="str">
        <x:v>Preview 시 대상 고정·Snapshot Hash</x:v>
      </x:c>
      <x:c r="H13" s="12" t="str">
        <x:v>전후값·영향·대상수·위험·Rollback 가능성</x:v>
      </x:c>
      <x:c r="I13" s="12" t="str">
        <x:v>Read/Write/Operate 분리·Tenant/Domain 격리</x:v>
      </x:c>
      <x:c r="J13" s="12" t="str">
        <x:v>고위험 Quorum·Expiry·Self Approval 금지·Break Glass 상한</x:v>
      </x:c>
      <x:c r="K13" s="12" t="str">
        <x:v>operationId+requestHash+expectedVersion/CAS</x:v>
      </x:c>
      <x:c r="L13" s="12" t="str">
        <x:v>Canonical Desired Version</x:v>
      </x:c>
      <x:c r="M13" s="12" t="str">
        <x:v>Durable Delivery·순서·중복 방지</x:v>
      </x:c>
      <x:c r="N13" s="12" t="str">
        <x:v>대상별 ACK/Actual Version/Hash/Error</x:v>
      </x:c>
      <x:c r="O13" s="12" t="str">
        <x:v>Desired-Actual/Backlog/Offline 표시</x:v>
      </x:c>
      <x:c r="P13" s="12" t="str">
        <x:v>실패 대상 bounded retry</x:v>
      </x:c>
      <x:c r="Q13" s="12" t="str">
        <x:v>예약/미적용 변경 취소</x:v>
      </x:c>
      <x:c r="R13" s="12" t="str">
        <x:v>Last Good 또는 Forward Recovery·Offline 복귀 Reconcile</x:v>
      </x:c>
      <x:c r="S13" s="12" t="str">
        <x:v>동적 적용/재기동 필요 구분</x:v>
      </x:c>
      <x:c r="T13" s="12" t="str">
        <x:v>사유·승인·전후 Hash·결과·민감정보 마스킹</x:v>
      </x:c>
      <x:c r="U13" s="12" t="str">
        <x:v>검색·Paging·상세·Preview·상태·Partial/Stale·조치</x:v>
      </x:c>
      <x:c r="V13" s="12" t="str">
        <x:v>정상·오류·경계·2+ Instance·재기동·부분 실패</x:v>
      </x:c>
      <x:c r="W13" s="12" t="str">
        <x:v>최신 SHA·명령·환경·로그·DB/API/UI·Hash</x:v>
      </x:c>
      <x:c r="X13" s="12" t="str">
        <x:v>DB 저장/버튼/API/Mock/현재 JVM 변경만으로 완료 금지</x:v>
      </x:c>
    </x:row>
    <x:row r="14">
      <x:c r="A14" s="12" t="str">
        <x:v>인스턴스별 로그 다운로드</x:v>
      </x:c>
      <x:c r="B14" s="12" t="str">
        <x:v>cpf-admin / cpf-batch host-agent</x:v>
      </x:c>
      <x:c r="C14" s="12" t="str">
        <x:v>ADM Download Service·Agent Log API</x:v>
      </x:c>
      <x:c r="D14" s="12" t="str">
        <x:v>System·Domain·Group·Instance·Log Type·Period·Trace/Transaction</x:v>
      </x:c>
      <x:c r="E14" s="12" t="str">
        <x:v>List·Stream·ZIP·Archive·Masking·Temp Lifecycle</x:v>
      </x:c>
      <x:c r="F14" s="12" t="str">
        <x:v>Version/Hash/Status/UpdatedAt/Owner 조회</x:v>
      </x:c>
      <x:c r="G14" s="12" t="str">
        <x:v>Preview 시 대상 고정·Snapshot Hash</x:v>
      </x:c>
      <x:c r="H14" s="12" t="str">
        <x:v>전후값·영향·대상수·위험·Rollback 가능성</x:v>
      </x:c>
      <x:c r="I14" s="12" t="str">
        <x:v>Read/Write/Operate 분리·Tenant/Domain 격리</x:v>
      </x:c>
      <x:c r="J14" s="12" t="str">
        <x:v>고위험 Quorum·Expiry·Self Approval 금지·Break Glass 상한</x:v>
      </x:c>
      <x:c r="K14" s="12" t="str">
        <x:v>operationId+requestHash+expectedVersion/CAS</x:v>
      </x:c>
      <x:c r="L14" s="12" t="str">
        <x:v>Canonical Desired Version</x:v>
      </x:c>
      <x:c r="M14" s="12" t="str">
        <x:v>Durable Delivery·순서·중복 방지</x:v>
      </x:c>
      <x:c r="N14" s="12" t="str">
        <x:v>대상별 ACK/Actual Version/Hash/Error</x:v>
      </x:c>
      <x:c r="O14" s="12" t="str">
        <x:v>Desired-Actual/Backlog/Offline 표시</x:v>
      </x:c>
      <x:c r="P14" s="12" t="str">
        <x:v>실패 대상 bounded retry</x:v>
      </x:c>
      <x:c r="Q14" s="12" t="str">
        <x:v>예약/미적용 변경 취소</x:v>
      </x:c>
      <x:c r="R14" s="12" t="str">
        <x:v>Last Good 또는 Forward Recovery·Offline 복귀 Reconcile</x:v>
      </x:c>
      <x:c r="S14" s="12" t="str">
        <x:v>동적 적용/재기동 필요 구분</x:v>
      </x:c>
      <x:c r="T14" s="12" t="str">
        <x:v>사유·승인·전후 Hash·결과·민감정보 마스킹</x:v>
      </x:c>
      <x:c r="U14" s="12" t="str">
        <x:v>검색·Paging·상세·Preview·상태·Partial/Stale·조치</x:v>
      </x:c>
      <x:c r="V14" s="12" t="str">
        <x:v>정상·오류·경계·2+ Instance·재기동·부분 실패</x:v>
      </x:c>
      <x:c r="W14" s="12" t="str">
        <x:v>최신 SHA·명령·환경·로그·DB/API/UI·Hash</x:v>
      </x:c>
      <x:c r="X14" s="12" t="str">
        <x:v>DB 저장/버튼/API/Mock/현재 JVM 변경만으로 완료 금지</x:v>
      </x:c>
    </x:row>
    <x:row r="15">
      <x:c r="A15" s="12" t="str">
        <x:v>관제·알림</x:v>
      </x:c>
      <x:c r="B15" s="12" t="str">
        <x:v>cpf-admin / cpf-core</x:v>
      </x:c>
      <x:c r="C15" s="12" t="str">
        <x:v>Operational Event·Outbox Worker·Provider Adapter</x:v>
      </x:c>
      <x:c r="D15" s="12" t="str">
        <x:v>Environment·Domain·Group·Instance·Transaction·Error Group</x:v>
      </x:c>
      <x:c r="E15" s="12" t="str">
        <x:v>Rule·Suppression·Silence·Escalation·Email/SMS/Webhook·Retry/DLQ</x:v>
      </x:c>
      <x:c r="F15" s="12" t="str">
        <x:v>Version/Hash/Status/UpdatedAt/Owner 조회</x:v>
      </x:c>
      <x:c r="G15" s="12" t="str">
        <x:v>Preview 시 대상 고정·Snapshot Hash</x:v>
      </x:c>
      <x:c r="H15" s="12" t="str">
        <x:v>전후값·영향·대상수·위험·Rollback 가능성</x:v>
      </x:c>
      <x:c r="I15" s="12" t="str">
        <x:v>Read/Write/Operate 분리·Tenant/Domain 격리</x:v>
      </x:c>
      <x:c r="J15" s="12" t="str">
        <x:v>고위험 Quorum·Expiry·Self Approval 금지·Break Glass 상한</x:v>
      </x:c>
      <x:c r="K15" s="12" t="str">
        <x:v>operationId+requestHash+expectedVersion/CAS</x:v>
      </x:c>
      <x:c r="L15" s="12" t="str">
        <x:v>Canonical Desired Version</x:v>
      </x:c>
      <x:c r="M15" s="12" t="str">
        <x:v>Durable Delivery·순서·중복 방지</x:v>
      </x:c>
      <x:c r="N15" s="12" t="str">
        <x:v>대상별 ACK/Actual Version/Hash/Error</x:v>
      </x:c>
      <x:c r="O15" s="12" t="str">
        <x:v>Desired-Actual/Backlog/Offline 표시</x:v>
      </x:c>
      <x:c r="P15" s="12" t="str">
        <x:v>실패 대상 bounded retry</x:v>
      </x:c>
      <x:c r="Q15" s="12" t="str">
        <x:v>예약/미적용 변경 취소</x:v>
      </x:c>
      <x:c r="R15" s="12" t="str">
        <x:v>Last Good 또는 Forward Recovery·Offline 복귀 Reconcile</x:v>
      </x:c>
      <x:c r="S15" s="12" t="str">
        <x:v>동적 적용/재기동 필요 구분</x:v>
      </x:c>
      <x:c r="T15" s="12" t="str">
        <x:v>사유·승인·전후 Hash·결과·민감정보 마스킹</x:v>
      </x:c>
      <x:c r="U15" s="12" t="str">
        <x:v>검색·Paging·상세·Preview·상태·Partial/Stale·조치</x:v>
      </x:c>
      <x:c r="V15" s="12" t="str">
        <x:v>정상·오류·경계·2+ Instance·재기동·부분 실패</x:v>
      </x:c>
      <x:c r="W15" s="12" t="str">
        <x:v>최신 SHA·명령·환경·로그·DB/API/UI·Hash</x:v>
      </x:c>
      <x:c r="X15" s="12" t="str">
        <x:v>DB 저장/버튼/API/Mock/현재 JVM 변경만으로 완료 금지</x:v>
      </x:c>
    </x:row>
    <x:row r="16">
      <x:c r="A16" s="12" t="str">
        <x:v>Local 개발 Runtime</x:v>
      </x:c>
      <x:c r="B16" s="12" t="str">
        <x:v>cpf-local-runtime / cpf-local-batch-runtime</x:v>
      </x:c>
      <x:c r="C16" s="12" t="str">
        <x:v>ADM/BZA/Gateway/Domain·Batch Runtime</x:v>
      </x:c>
      <x:c r="D16" s="12" t="str">
        <x:v>minimal·standard·full·integration Profile</x:v>
      </x:c>
      <x:c r="E16" s="12" t="str">
        <x:v>Web 1 JVM/1 Port·Batch 별도 JVM·Local Facade·Fake/Embedded</x:v>
      </x:c>
      <x:c r="F16" s="12" t="str">
        <x:v>Version/Hash/Status/UpdatedAt/Owner 조회</x:v>
      </x:c>
      <x:c r="G16" s="12" t="str">
        <x:v>Preview 시 대상 고정·Snapshot Hash</x:v>
      </x:c>
      <x:c r="H16" s="12" t="str">
        <x:v>전후값·영향·대상수·위험·Rollback 가능성</x:v>
      </x:c>
      <x:c r="I16" s="12" t="str">
        <x:v>Read/Write/Operate 분리·Tenant/Domain 격리</x:v>
      </x:c>
      <x:c r="J16" s="12" t="str">
        <x:v>고위험 Quorum·Expiry·Self Approval 금지·Break Glass 상한</x:v>
      </x:c>
      <x:c r="K16" s="12" t="str">
        <x:v>operationId+requestHash+expectedVersion/CAS</x:v>
      </x:c>
      <x:c r="L16" s="12" t="str">
        <x:v>Canonical Desired Version</x:v>
      </x:c>
      <x:c r="M16" s="12" t="str">
        <x:v>Durable Delivery·순서·중복 방지</x:v>
      </x:c>
      <x:c r="N16" s="12" t="str">
        <x:v>대상별 ACK/Actual Version/Hash/Error</x:v>
      </x:c>
      <x:c r="O16" s="12" t="str">
        <x:v>Desired-Actual/Backlog/Offline 표시</x:v>
      </x:c>
      <x:c r="P16" s="12" t="str">
        <x:v>실패 대상 bounded retry</x:v>
      </x:c>
      <x:c r="Q16" s="12" t="str">
        <x:v>예약/미적용 변경 취소</x:v>
      </x:c>
      <x:c r="R16" s="12" t="str">
        <x:v>Last Good 또는 Forward Recovery·Offline 복귀 Reconcile</x:v>
      </x:c>
      <x:c r="S16" s="12" t="str">
        <x:v>동적 적용/재기동 필요 구분</x:v>
      </x:c>
      <x:c r="T16" s="12" t="str">
        <x:v>사유·승인·전후 Hash·결과·민감정보 마스킹</x:v>
      </x:c>
      <x:c r="U16" s="12" t="str">
        <x:v>검색·Paging·상세·Preview·상태·Partial/Stale·조치</x:v>
      </x:c>
      <x:c r="V16" s="12" t="str">
        <x:v>정상·오류·경계·2+ Instance·재기동·부분 실패</x:v>
      </x:c>
      <x:c r="W16" s="12" t="str">
        <x:v>최신 SHA·명령·환경·로그·DB/API/UI·Hash</x:v>
      </x:c>
      <x:c r="X16" s="12" t="str">
        <x:v>DB 저장/버튼/API/Mock/현재 JVM 변경만으로 완료 금지</x:v>
      </x:c>
    </x:row>
    <x:row r="17">
      <x:c r="A17" s="12" t="str">
        <x:v>EDU·Reference 예제 그룹</x:v>
      </x:c>
      <x:c r="B17" s="12" t="str">
        <x:v>cpf-reference / cpf-tools / generated domain</x:v>
      </x:c>
      <x:c r="C17" s="12" t="str">
        <x:v>개발자·운영자·Generator Consumer</x:v>
      </x:c>
      <x:c r="D17" s="12" t="str">
        <x:v>기능그룹·오류유형·Topology·Provider</x:v>
      </x:c>
      <x:c r="E17" s="12" t="str">
        <x:v>실제 Public API/SPI·정상/오류/복구·ADM·Test·Evidence</x:v>
      </x:c>
      <x:c r="F17" s="12" t="str">
        <x:v>Version/Hash/Status/UpdatedAt/Owner 조회</x:v>
      </x:c>
      <x:c r="G17" s="12" t="str">
        <x:v>Preview 시 대상 고정·Snapshot Hash</x:v>
      </x:c>
      <x:c r="H17" s="12" t="str">
        <x:v>전후값·영향·대상수·위험·Rollback 가능성</x:v>
      </x:c>
      <x:c r="I17" s="12" t="str">
        <x:v>Read/Write/Operate 분리·Tenant/Domain 격리</x:v>
      </x:c>
      <x:c r="J17" s="12" t="str">
        <x:v>고위험 Quorum·Expiry·Self Approval 금지·Break Glass 상한</x:v>
      </x:c>
      <x:c r="K17" s="12" t="str">
        <x:v>operationId+requestHash+expectedVersion/CAS</x:v>
      </x:c>
      <x:c r="L17" s="12" t="str">
        <x:v>Canonical Desired Version</x:v>
      </x:c>
      <x:c r="M17" s="12" t="str">
        <x:v>Durable Delivery·순서·중복 방지</x:v>
      </x:c>
      <x:c r="N17" s="12" t="str">
        <x:v>대상별 ACK/Actual Version/Hash/Error</x:v>
      </x:c>
      <x:c r="O17" s="12" t="str">
        <x:v>Desired-Actual/Backlog/Offline 표시</x:v>
      </x:c>
      <x:c r="P17" s="12" t="str">
        <x:v>실패 대상 bounded retry</x:v>
      </x:c>
      <x:c r="Q17" s="12" t="str">
        <x:v>예약/미적용 변경 취소</x:v>
      </x:c>
      <x:c r="R17" s="12" t="str">
        <x:v>Last Good 또는 Forward Recovery·Offline 복귀 Reconcile</x:v>
      </x:c>
      <x:c r="S17" s="12" t="str">
        <x:v>동적 적용/재기동 필요 구분</x:v>
      </x:c>
      <x:c r="T17" s="12" t="str">
        <x:v>사유·승인·전후 Hash·결과·민감정보 마스킹</x:v>
      </x:c>
      <x:c r="U17" s="12" t="str">
        <x:v>검색·Paging·상세·Preview·상태·Partial/Stale·조치</x:v>
      </x:c>
      <x:c r="V17" s="12" t="str">
        <x:v>정상·오류·경계·2+ Instance·재기동·부분 실패</x:v>
      </x:c>
      <x:c r="W17" s="12" t="str">
        <x:v>최신 SHA·명령·환경·로그·DB/API/UI·Hash</x:v>
      </x:c>
      <x:c r="X17" s="12" t="str">
        <x:v>DB 저장/버튼/API/Mock/현재 JVM 변경만으로 완료 금지</x:v>
      </x:c>
    </x:row>
    <x:row r="18">
      <x:c r="A18" s="12" t="str">
        <x:v>Redis·분산 Cache</x:v>
      </x:c>
      <x:c r="B18" s="12" t="str">
        <x:v>cpf-core API/SPI / cpf-common / optional Redis adapter / cpf-admin</x:v>
      </x:c>
      <x:c r="C18" s="12" t="str">
        <x:v>Cache resolver·공통코드/메시지/권한/설정 Consumer</x:v>
      </x:c>
      <x:c r="D18" s="12" t="str">
        <x:v>Environment·Domain·Cache Region·Group·Instance·Key Scope</x:v>
      </x:c>
      <x:c r="E18" s="12" t="str">
        <x:v>L1/L2 Provider·TTL·Schema Version·Key Namespace·Desired/Actual·ACK·Backlog·Poison·Drift</x:v>
      </x:c>
      <x:c r="F18" s="12" t="str">
        <x:v>Caffeine L1과 DB durable event 기반 구현 여부를 Source·Runtime에서 재확인</x:v>
      </x:c>
      <x:c r="G18" s="12" t="str">
        <x:v>Region/Key scope/Instance immutable snapshot와 request hash</x:v>
      </x:c>
      <x:c r="H18" s="12" t="str">
        <x:v>예상 evict/refresh 건수·memory·backend 부하·stale 영향·rollback 가능성</x:v>
      </x:c>
      <x:c r="I18" s="12" t="str">
        <x:v>CACHE_READ/REFRESH/EVICT/RECONCILE/POISON_RETRY 분리</x:v>
      </x:c>
      <x:c r="J18" s="12" t="str">
        <x:v>Full refresh·wide evict·security cache 조치는 승인과 break-glass 상한</x:v>
      </x:c>
      <x:c r="K18" s="12" t="str">
        <x:v>operationId·requestHash·expected desiredVersion·checkpoint CAS</x:v>
      </x:c>
      <x:c r="L18" s="12" t="str">
        <x:v>Cache policy/version/hash와 target desired state</x:v>
      </x:c>
      <x:c r="M18" s="12" t="str">
        <x:v>Durable event + Redis fast channel, 중복 제거·순서·backpressure</x:v>
      </x:c>
      <x:c r="N18" s="12" t="str">
        <x:v>Instance별 appliedVersion/hash/ack/error/heartbeat</x:v>
      </x:c>
      <x:c r="O18" s="12" t="str">
        <x:v>desired-actual version/hash gap, offline, retention gap</x:v>
      </x:c>
      <x:c r="P18" s="12" t="str">
        <x:v>bounded retry·backoff·poison quarantine</x:v>
      </x:c>
      <x:c r="Q18" s="12" t="str">
        <x:v>pending delivery와 rebuild job cancel</x:v>
      </x:c>
      <x:c r="R18" s="12" t="str">
        <x:v>snapshot rebuild·durable replay·full reconcile</x:v>
      </x:c>
      <x:c r="S18" s="12" t="str">
        <x:v>serializer/provider/config 변경에 따른 restartRequired</x:v>
      </x:c>
      <x:c r="T18" s="12" t="str">
        <x:v>key/value 원문·Secret/PII 비노출, 조치/결과 감사</x:v>
      </x:c>
      <x:c r="U18" s="12" t="str">
        <x:v>Provider/health/hit/miss/memory/TTL/version/ACK/backlog/poison/drift Grid와 대상별 조치</x:v>
      </x:c>
      <x:c r="V18" s="12" t="str">
        <x:v>Redis down/failover/network partition/offline replay/10만 backlog/lock fencing</x:v>
      </x:c>
      <x:c r="W18" s="12" t="str">
        <x:v>실 Redis와 Simulator 결과 분리, exact SHA·process·metrics·DB/Redis snapshot</x:v>
      </x:c>
      <x:c r="X18" s="12" t="str">
        <x:v>Redis 설정·Interface·Pub/Sub 성공만으로 완료 금지; durable recovery·다중 Instance·ADM 결과 필요</x:v>
      </x:c>
    </x:row>
    <x:row r="19">
      <x:c r="A19" s="12" t="str">
        <x:v>Excel·CSV Download</x:v>
      </x:c>
      <x:c r="B19" s="12" t="str">
        <x:v>cpf-admin / cpf-biz-admin / owner query service</x:v>
      </x:c>
      <x:c r="C19" s="12" t="str">
        <x:v>ADM/BZA 운영자·Download worker</x:v>
      </x:c>
      <x:c r="D19" s="12" t="str">
        <x:v>Menu·Dataset·Search Snapshot·Organization·Domain·Environment</x:v>
      </x:c>
      <x:c r="E19" s="12" t="str">
        <x:v>CSV/XLSX·row count·mask policy·file hash·expiry·job state</x:v>
      </x:c>
      <x:c r="F19" s="12" t="str">
        <x:v>기존 CSV 구현과 memory/streaming/vendor SQL을 Source에서 재확인</x:v>
      </x:c>
      <x:c r="G19" s="12" t="str">
        <x:v>검색조건·선택행·Data Scope·mask policy snapshot</x:v>
      </x:c>
      <x:c r="H19" s="12" t="str">
        <x:v>예상 행수·파일크기·민감도·승인 필요</x:v>
      </x:c>
      <x:c r="I19" s="12" t="str">
        <x:v>DOWNLOAD/DOWNLOAD_SENSITIVE/RE-DOWNLOAD 분리</x:v>
      </x:c>
      <x:c r="J19" s="12" t="str">
        <x:v>민감·대량 다운로드 승인·사유·만료</x:v>
      </x:c>
      <x:c r="K19" s="12" t="str">
        <x:v>downloadJobId·operationId·requestHash</x:v>
      </x:c>
      <x:c r="L19" s="12" t="str">
        <x:v>생성 형식·범위·mask·expiry</x:v>
      </x:c>
      <x:c r="M19" s="12" t="str">
        <x:v>비동기 job 또는 streaming</x:v>
      </x:c>
      <x:c r="N19" s="12" t="str">
        <x:v>생성/실다운로드 결과·actual rows·hash</x:v>
      </x:c>
      <x:c r="O19" s="12" t="str">
        <x:v>검색 snapshot과 실제 query version 불일치</x:v>
      </x:c>
      <x:c r="P19" s="12" t="str">
        <x:v>재생성·재다운로드 정책</x:v>
      </x:c>
      <x:c r="Q19" s="12" t="str">
        <x:v>job/client cancel과 cleanup</x:v>
      </x:c>
      <x:c r="R19" s="12" t="str">
        <x:v>orphan temp cleanup·unknown job reconcile</x:v>
      </x:c>
      <x:c r="S19" s="12" t="str">
        <x:v>없음; worker restart recovery 필요</x:v>
      </x:c>
      <x:c r="T19" s="12" t="str">
        <x:v>파일/로그/Evidence masking과 불변 감사</x:v>
      </x:c>
      <x:c r="U19" s="12" t="str">
        <x:v>Download Center progress/result/error/expiry/cancel</x:v>
      </x:c>
      <x:c r="V19" s="12" t="str">
        <x:v>100만건·disconnect·disk full·3 Vendor·formula injection</x:v>
      </x:c>
      <x:c r="W19" s="12" t="str">
        <x:v>파일 SHA-256·row count·heap·query profile</x:v>
      </x:c>
      <x:c r="X19" s="12" t="str">
        <x:v>첫 page·browser CSV·byte[] 전체 적재·권한 없는 URL이면 완료 금지</x:v>
      </x:c>
    </x:row>
    <x:row r="20">
      <x:c r="A20" s="12" t="str">
        <x:v>Excel·CSV Upload</x:v>
      </x:c>
      <x:c r="B20" s="12" t="str">
        <x:v>cpf-admin / cpf-biz-admin / owner command service</x:v>
      </x:c>
      <x:c r="C20" s="12" t="str">
        <x:v>Upload validator·worker·업무 owner service</x:v>
      </x:c>
      <x:c r="D20" s="12" t="str">
        <x:v>Template·Domain·Organization·Environment·Dataset</x:v>
      </x:c>
      <x:c r="E20" s="12" t="str">
        <x:v>Template version·file hash·row validation·job·error file·apply result</x:v>
      </x:c>
      <x:c r="F20" s="12" t="str">
        <x:v>일반 첨부 업로드와 업무 Bulk Upload를 분리해 재확인</x:v>
      </x:c>
      <x:c r="G20" s="12" t="str">
        <x:v>파일 hash·template/schema·DB expectedVersion·target scope</x:v>
      </x:c>
      <x:c r="H20" s="12" t="str">
        <x:v>valid/invalid/duplicate/change count·before/after·atomicity</x:v>
      </x:c>
      <x:c r="I20" s="12" t="str">
        <x:v>UPLOAD/UPLOAD_APPLY/ERROR_FILE 분리</x:v>
      </x:c>
      <x:c r="J20" s="12" t="str">
        <x:v>실제 적용과 대량·민감 변경 승인</x:v>
      </x:c>
      <x:c r="K20" s="12" t="str">
        <x:v>uploadJobId·operationId·file hash·expectedVersion</x:v>
      </x:c>
      <x:c r="L20" s="12" t="str">
        <x:v>검증된 change set과 apply policy</x:v>
      </x:c>
      <x:c r="M20" s="12" t="str">
        <x:v>비동기 validator/worker, chunk/checkpoint</x:v>
      </x:c>
      <x:c r="N20" s="12" t="str">
        <x:v>행별 success/failure/skipped와 DB actual</x:v>
      </x:c>
      <x:c r="O20" s="12" t="str">
        <x:v>preview 후 DB/version 변경</x:v>
      </x:c>
      <x:c r="P20" s="12" t="str">
        <x:v>실패행 재처리·전체 재검증</x:v>
      </x:c>
      <x:c r="Q20" s="12" t="str">
        <x:v>검증/적용 취소와 안전한 cleanup</x:v>
      </x:c>
      <x:c r="R20" s="12" t="str">
        <x:v>atomic rollback·compensation·unknown reconcile</x:v>
      </x:c>
      <x:c r="S20" s="12" t="str">
        <x:v>worker restart recovery</x:v>
      </x:c>
      <x:c r="T20" s="12" t="str">
        <x:v>원본·오류파일 암호화/retention·PII masking</x:v>
      </x:c>
      <x:c r="U20" s="12" t="str">
        <x:v>Upload wizard·dry-run·preview·progress·행별 오류·오류파일</x:v>
      </x:c>
      <x:c r="V20" s="12" t="str">
        <x:v>악성파일·중복·부분실패·kill/restart·동일 operation 다른 hash</x:v>
      </x:c>
      <x:c r="W20" s="12" t="str">
        <x:v>file hash·job rows·DB before/after·error file hash</x:v>
      </x:c>
      <x:c r="X20" s="12" t="str">
        <x:v>파일 수신만 하거나 행별 결과·복구·승인 없으면 완료 금지</x:v>
      </x:c>
    </x:row>
    <x:row r="21">
      <x:c r="A21" s="12" t="str">
        <x:v>버튼별 Action 권한</x:v>
      </x:c>
      <x:c r="B21" s="12" t="str">
        <x:v>cpf-core security / cpf-admin / cpf-biz-admin</x:v>
      </x:c>
      <x:c r="C21" s="12" t="str">
        <x:v>Frontend action guard·Backend authorization filter/service</x:v>
      </x:c>
      <x:c r="D21" s="12" t="str">
        <x:v>Menu·Screen·Action·API·Method·Resource·Data·Environment·Domain·Organization</x:v>
      </x:c>
      <x:c r="E21" s="12" t="str">
        <x:v>Action manifest·Allow/Deny·inheritance·effective permission·version</x:v>
      </x:c>
      <x:c r="F21" s="12" t="str">
        <x:v>generic READ/WRITE/DELETE 사용과 세부 Action 적용 범위를 Source에서 재확인</x:v>
      </x:c>
      <x:c r="G21" s="12" t="str">
        <x:v>사용자/role/permission/version/session snapshot</x:v>
      </x:c>
      <x:c r="H21" s="12" t="str">
        <x:v>권한 변경 전후·영향 사용자·route/API parity</x:v>
      </x:c>
      <x:c r="I21" s="12" t="str">
        <x:v>권한 관리 자체의 read/write/approve 권한</x:v>
      </x:c>
      <x:c r="J21" s="12" t="str">
        <x:v>최고권한·break-glass·민감권한 변경 승인</x:v>
      </x:c>
      <x:c r="K21" s="12" t="str">
        <x:v>operationId·requestHash·expected permission version</x:v>
      </x:c>
      <x:c r="L21" s="12" t="str">
        <x:v>versioned permission manifest</x:v>
      </x:c>
      <x:c r="M21" s="12" t="str">
        <x:v>session/cache invalidation과 instance propagation</x:v>
      </x:c>
      <x:c r="N21" s="12" t="str">
        <x:v>Frontend/backend/instance effective version</x:v>
      </x:c>
      <x:c r="O21" s="12" t="str">
        <x:v>seed/route/API/frontend/backend 불일치</x:v>
      </x:c>
      <x:c r="P21" s="12" t="str">
        <x:v>전파 재시도</x:v>
      </x:c>
      <x:c r="Q21" s="12" t="str">
        <x:v>pending permission change 취소</x:v>
      </x:c>
      <x:c r="R21" s="12" t="str">
        <x:v>이전 manifest rollback·session reconcile</x:v>
      </x:c>
      <x:c r="S21" s="12" t="str">
        <x:v>원칙적으로 없음</x:v>
      </x:c>
      <x:c r="T21" s="12" t="str">
        <x:v>변경자·승인자·diff·simulation 감사</x:v>
      </x:c>
      <x:c r="U21" s="12" t="str">
        <x:v>Permission Tree·role compare·user simulation·diff</x:v>
      </x:c>
      <x:c r="V21" s="12" t="str">
        <x:v>direct URL/API/method/scope/deny/cache multi-WAS</x:v>
      </x:c>
      <x:c r="W21" s="12" t="str">
        <x:v>manifest hash·negative HTTP·browser trace</x:v>
      </x:c>
      <x:c r="X21" s="12" t="str">
        <x:v>버튼 숨김 또는 generic WRITE만으로 완료 금지</x:v>
      </x:c>
    </x:row>
  </x:sheetData>
  <x:pageMargins left="0.7" right="0.7" top="0.75" bottom="0.75" header="0.3" footer="0.3"/>
  <x:tableParts count="1">
    <x:tablePart xmlns:r="http://schemas.openxmlformats.org/officeDocument/2006/relationships" r:id="R57f118d05155432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8" hidden="0" customWidth="1"/>
    <x:col min="4" max="4" width="18" hidden="0" customWidth="1"/>
    <x:col min="5" max="5" width="32" hidden="0" customWidth="1"/>
    <x:col min="6" max="6" width="48" hidden="0" customWidth="1"/>
    <x:col min="7" max="7" width="52" hidden="0" customWidth="1"/>
    <x:col min="8" max="8" width="42" hidden="0" customWidth="1"/>
    <x:col min="9" max="9" width="24" hidden="0" customWidth="1"/>
    <x:col min="10" max="10" width="42" hidden="0" customWidth="1"/>
  </x:cols>
  <x:sheetData>
    <x:row r="1">
      <x:c r="A1" s="6" t="str">
        <x:v>id</x:v>
      </x:c>
      <x:c r="B1" s="6" t="str">
        <x:v>status</x:v>
      </x:c>
      <x:c r="C1" s="6" t="str">
        <x:v>severity</x:v>
      </x:c>
      <x:c r="D1" s="6" t="str">
        <x:v>evidence_type</x:v>
      </x:c>
      <x:c r="E1" s="6" t="str">
        <x:v>title</x:v>
      </x:c>
      <x:c r="F1" s="6" t="str">
        <x:v>source_path</x:v>
      </x:c>
      <x:c r="G1" s="6" t="str">
        <x:v>observed_behavior</x:v>
      </x:c>
      <x:c r="H1" s="6" t="str">
        <x:v>required_recheck</x:v>
      </x:c>
      <x:c r="I1" s="6" t="str">
        <x:v>target_requirement</x:v>
      </x:c>
      <x:c r="J1" s="6" t="str">
        <x:v>completion_prohibition</x:v>
      </x:c>
    </x:row>
    <x:row r="2">
      <x:c r="A2" s="12" t="str">
        <x:v>CPF-KG-001</x:v>
      </x:c>
      <x:c r="B2" s="12" t="str">
        <x:v>부분 구현</x:v>
      </x:c>
      <x:c r="C2" s="12" t="str">
        <x:v>P0</x:v>
      </x:c>
      <x:c r="D2" s="12" t="str">
        <x:v>SourceConfirmed</x:v>
      </x:c>
      <x:c r="E2" s="12" t="str">
        <x:v>BZA 조직 Tree 2단계 렌더링</x:v>
      </x:c>
      <x:c r="F2" s="12" t="str">
        <x:v>cpf-biz-admin/frontend/src/features/organizations/OrganizationsPage.vue</x:v>
      </x:c>
      <x:c r="G2" s="12" t="str">
        <x:v>root와 직속 child만 렌더링하며 grandchildren은 하위 수로만 표시한다.</x:v>
      </x:c>
      <x:c r="H2" s="12" t="str">
        <x:v>재귀 component/tree data와 5단계 browser test 확인</x:v>
      </x:c>
      <x:c r="I2" s="12" t="str">
        <x:v>CPF-QA-D04-UIX-004</x:v>
      </x:c>
      <x:c r="J2" s="12" t="str">
        <x:v>화면 제목이 Tree이거나 하위 수를 표시하는 것만으로 완료 금지</x:v>
      </x:c>
    </x:row>
    <x:row r="3">
      <x:c r="A3" s="12" t="str">
        <x:v>CPF-KG-002</x:v>
      </x:c>
      <x:c r="B3" s="12" t="str">
        <x:v>부분 구현</x:v>
      </x:c>
      <x:c r="C3" s="12" t="str">
        <x:v>P0</x:v>
      </x:c>
      <x:c r="D3" s="12" t="str">
        <x:v>SourceConfirmed</x:v>
      </x:c>
      <x:c r="E3" s="12" t="str">
        <x:v>BZA 메뉴 관리 평면 CRUD</x:v>
      </x:c>
      <x:c r="F3" s="12" t="str">
        <x:v>cpf-biz-admin/frontend/src/features/menus/MenusPage.vue</x:v>
      </x:c>
      <x:c r="G3" s="12" t="str">
        <x:v>parentMenuCode 필드는 있으나 CrudTable 기반 평면 관리다.</x:v>
      </x:c>
      <x:c r="H3" s="12" t="str">
        <x:v>Tree 편집·cycle/route/API parity·diff E2E</x:v>
      </x:c>
      <x:c r="I3" s="12" t="str">
        <x:v>CPF-QA-D04-UIX-005</x:v>
      </x:c>
      <x:c r="J3" s="12" t="str">
        <x:v>parentMenuCode 존재만으로 Tree 완료 금지</x:v>
      </x:c>
    </x:row>
    <x:row r="4">
      <x:c r="A4" s="12" t="str">
        <x:v>CPF-KG-003</x:v>
      </x:c>
      <x:c r="B4" s="12" t="str">
        <x:v>부분 구현</x:v>
      </x:c>
      <x:c r="C4" s="12" t="str">
        <x:v>P0</x:v>
      </x:c>
      <x:c r="D4" s="12" t="str">
        <x:v>SourceConfirmed</x:v>
      </x:c>
      <x:c r="E4" s="12" t="str">
        <x:v>권한 Simulation Raw JSON</x:v>
      </x:c>
      <x:c r="F4" s="12" t="str">
        <x:v>cpf-biz-admin/frontend/src/features/permissions/PermissionsPage.vue</x:v>
      </x:c>
      <x:c r="G4" s="12" t="str">
        <x:v>simulation 결과를 JSON.stringify 기반 pre로 출력한다.</x:v>
      </x:c>
      <x:c r="H4" s="12" t="str">
        <x:v>Effective permission tree와 판정 근거 component 확인</x:v>
      </x:c>
      <x:c r="I4" s="12" t="str">
        <x:v>CPF-QA-D04-UIX-008</x:v>
      </x:c>
      <x:c r="J4" s="12" t="str">
        <x:v>개발자 JSON 출력만으로 운영 UI 완료 금지</x:v>
      </x:c>
    </x:row>
    <x:row r="5">
      <x:c r="A5" s="12" t="str">
        <x:v>CPF-KG-004</x:v>
      </x:c>
      <x:c r="B5" s="12" t="str">
        <x:v>부분 구현</x:v>
      </x:c>
      <x:c r="C5" s="12" t="str">
        <x:v>P0</x:v>
      </x:c>
      <x:c r="D5" s="12" t="str">
        <x:v>SourceConfirmed</x:v>
      </x:c>
      <x:c r="E5" s="12" t="str">
        <x:v>Runtime Control Raw JSON·개발자 입력 중심</x:v>
      </x:c>
      <x:c r="F5" s="12" t="str">
        <x:v>cpf-admin/frontend/src/features/runtime-control/RuntimeControlPage.vue</x:v>
      </x:c>
      <x:c r="G5" s="12" t="str">
        <x:v>preview/audit/group/status가 pre로 출력되고 payload JSON을 직접 입력한다.</x:v>
      </x:c>
      <x:c r="H5" s="12" t="str">
        <x:v>Schema form·target result·timeline·action permission browser E2E</x:v>
      </x:c>
      <x:c r="I5" s="12" t="str">
        <x:v>CPF-QA-D04-UIX-008; CPF-QA-D04-RTCRES-015</x:v>
      </x:c>
      <x:c r="J5" s="12" t="str">
        <x:v>버튼과 API 존재만으로 완료 금지</x:v>
      </x:c>
    </x:row>
    <x:row r="6">
      <x:c r="A6" s="12" t="str">
        <x:v>CPF-KG-005</x:v>
      </x:c>
      <x:c r="B6" s="12" t="str">
        <x:v>미구현</x:v>
      </x:c>
      <x:c r="C6" s="12" t="str">
        <x:v>P0</x:v>
      </x:c>
      <x:c r="D6" s="12" t="str">
        <x:v>SourceConfirmed</x:v>
      </x:c>
      <x:c r="E6" s="12" t="str">
        <x:v>cpf-common Redis Provider 의존성 부재</x:v>
      </x:c>
      <x:c r="F6" s="12" t="str">
        <x:v>cpf-common/build.gradle</x:v>
      </x:c>
      <x:c r="G6" s="12" t="str">
        <x:v>Spring Cache와 Caffeine 의존성은 있으나 Redis client/adapter 의존성이 확인되지 않는다.</x:v>
      </x:c>
      <x:c r="H6" s="12" t="str">
        <x:v>Repository 전체 Redis adapter/auto-configuration/consumer 검색과 실 Runtime</x:v>
      </x:c>
      <x:c r="I6" s="12" t="str">
        <x:v>CPF-QA-D04-REDIS-003</x:v>
      </x:c>
      <x:c r="J6" s="12" t="str">
        <x:v>Redis 요구를 DB event 또는 Caffeine만으로 완료 처리 금지</x:v>
      </x:c>
    </x:row>
    <x:row r="7">
      <x:c r="A7" s="12" t="str">
        <x:v>CPF-KG-006</x:v>
      </x:c>
      <x:c r="B7" s="12" t="str">
        <x:v>부분 구현</x:v>
      </x:c>
      <x:c r="C7" s="12" t="str">
        <x:v>P0</x:v>
      </x:c>
      <x:c r="D7" s="12" t="str">
        <x:v>SourceConfirmed</x:v>
      </x:c>
      <x:c r="E7" s="12" t="str">
        <x:v>Notification Action generic WRITE</x:v>
      </x:c>
      <x:c r="F7" s="12" t="str">
        <x:v>cpf-admin/frontend/src/features/notifications/NotificationsPage.vue</x:v>
      </x:c>
      <x:c r="G7" s="12" t="str">
        <x:v>규칙 저장·비활성·테스트 발송·retry·cancel이 동일 canWrite('NOTIFICATION')를 사용한다.</x:v>
      </x:c>
      <x:c r="H7" s="12" t="str">
        <x:v>독립 Action code와 backend negative test</x:v>
      </x:c>
      <x:c r="I7" s="12" t="str">
        <x:v>CPF-QA-D04-ACT-002</x:v>
      </x:c>
      <x:c r="J7" s="12" t="str">
        <x:v>generic WRITE 하나로 위험 조치 완료 금지</x:v>
      </x:c>
    </x:row>
    <x:row r="8">
      <x:c r="A8" s="12" t="str">
        <x:v>CPF-KG-007</x:v>
      </x:c>
      <x:c r="B8" s="12" t="str">
        <x:v>부분 구현</x:v>
      </x:c>
      <x:c r="C8" s="12" t="str">
        <x:v>P1</x:v>
      </x:c>
      <x:c r="D8" s="12" t="str">
        <x:v>SourceConfirmed</x:v>
      </x:c>
      <x:c r="E8" s="12" t="str">
        <x:v>Generator Feature Package reference 고정</x:v>
      </x:c>
      <x:c r="F8" s="12" t="str">
        <x:v>cpf-tools/scripts/new-cpf-domain.ps1</x:v>
      </x:c>
      <x:c r="G8" s="12" t="str">
        <x:v>FeaturePackage가 BasePackage.reference로 고정된다.</x:v>
      </x:c>
      <x:c r="H8" s="12" t="str">
        <x:v>Golden Reference와 Production Feature mode 분리 및 재생성</x:v>
      </x:c>
      <x:c r="I8" s="12" t="str">
        <x:v>CPF-QA-D04-PKG-006</x:v>
      </x:c>
      <x:c r="J8" s="12" t="str">
        <x:v>reference skeleton을 실제 업무 패키지 표준으로 완료 처리 금지</x:v>
      </x:c>
    </x:row>
    <x:row r="9">
      <x:c r="A9" s="12" t="str">
        <x:v>CPF-KG-008</x:v>
      </x:c>
      <x:c r="B9" s="12" t="str">
        <x:v>부분 구현</x:v>
      </x:c>
      <x:c r="C9" s="12" t="str">
        <x:v>P0</x:v>
      </x:c>
      <x:c r="D9" s="12" t="str">
        <x:v>SourceConfirmed</x:v>
      </x:c>
      <x:c r="E9" s="12" t="str">
        <x:v>Generator QueryPort에 Mutation 혼재</x:v>
      </x:c>
      <x:c r="F9" s="12" t="str">
        <x:v>cpf-tools/scripts/new-cpf-domain.ps1</x:v>
      </x:c>
      <x:c r="G9" s="12" t="str">
        <x:v>QueryPort가 search뿐 아니라 create/update/delete/rollback을 포함한다.</x:v>
      </x:c>
      <x:c r="H9" s="12" t="str">
        <x:v>Query/Command 책임 분리와 generated compile test</x:v>
      </x:c>
      <x:c r="I9" s="12" t="str">
        <x:v>CPF-QA-D04-PKG-008</x:v>
      </x:c>
      <x:c r="J9" s="12" t="str">
        <x:v>명칭만 Port이고 책임 혼재 상태 완료 금지</x:v>
      </x:c>
    </x:row>
    <x:row r="10">
      <x:c r="A10" s="12" t="str">
        <x:v>CPF-KG-009</x:v>
      </x:c>
      <x:c r="B10" s="12" t="str">
        <x:v>부분 구현</x:v>
      </x:c>
      <x:c r="C10" s="12" t="str">
        <x:v>P0</x:v>
      </x:c>
      <x:c r="D10" s="12" t="str">
        <x:v>SourceConfirmed</x:v>
      </x:c>
      <x:c r="E10" s="12" t="str">
        <x:v>Generator Public 계약 Map 사용</x:v>
      </x:c>
      <x:c r="F10" s="12" t="str">
        <x:v>cpf-tools/scripts/new-cpf-domain.ps1</x:v>
      </x:c>
      <x:c r="G10" s="12" t="str">
        <x:v>Controller/Facade/Service/Port/Remote/Repository 결과에 Map&lt;String,Object&gt;가 폭넓게 사용된다.</x:v>
      </x:c>
      <x:c r="H10" s="12" t="str">
        <x:v>Typed contract/OpenAPI/local-remote parity</x:v>
      </x:c>
      <x:c r="I10" s="12" t="str">
        <x:v>CPF-QA-D04-PKG-007</x:v>
      </x:c>
      <x:c r="J10" s="12" t="str">
        <x:v>Runtime Map 계약을 상용 Public API 완료로 인정 금지</x:v>
      </x:c>
    </x:row>
    <x:row r="11">
      <x:c r="A11" s="12" t="str">
        <x:v>CPF-KG-010</x:v>
      </x:c>
      <x:c r="B11" s="12" t="str">
        <x:v>부분 구현</x:v>
      </x:c>
      <x:c r="C11" s="12" t="str">
        <x:v>P1</x:v>
      </x:c>
      <x:c r="D11" s="12" t="str">
        <x:v>SourceConfirmed</x:v>
      </x:c>
      <x:c r="E11" s="12" t="str">
        <x:v>통합 Matrix Gate 후보 탐지 수준</x:v>
      </x:c>
      <x:c r="F11" s="12" t="str">
        <x:v>cpf-tools/verification/run-full-qa-closure.ps1</x:v>
      </x:c>
      <x:c r="G11" s="12" t="str">
        <x:v>symbol 횟수·정규식·경로 pattern으로 matrix를 만들며 status를 다수 미검증/재확인으로 둔다.</x:v>
      </x:c>
      <x:c r="H11" s="12" t="str">
        <x:v>AST/dependency/runtime evidence와 후보 수동 판정</x:v>
      </x:c>
      <x:c r="I11" s="12" t="str">
        <x:v>CPF-QA-D04-QAE-001; CPF-QA-D04-HYG-001</x:v>
      </x:c>
      <x:c r="J11" s="12" t="str">
        <x:v>후보 CSV 생성만으로 Architecture/Hygiene 완료 금지</x:v>
      </x:c>
    </x:row>
    <x:row r="12">
      <x:c r="A12" s="12" t="str">
        <x:v>CPF-KG-011</x:v>
      </x:c>
      <x:c r="B12" s="12" t="str">
        <x:v>미검증</x:v>
      </x:c>
      <x:c r="C12" s="12" t="str">
        <x:v>P0</x:v>
      </x:c>
      <x:c r="D12" s="12" t="str">
        <x:v>RuntimeRequired</x:v>
      </x:c>
      <x:c r="E12" s="12" t="str">
        <x:v>Redis Runtime 전체</x:v>
      </x:c>
      <x:c r="F12" s="12" t="str">
        <x:v>Repository 전체</x:v>
      </x:c>
      <x:c r="G12" s="12" t="str">
        <x:v>Source 일부 확인만으로 실제 Redis topology·장애·다중 instance 결과는 확인되지 않았다.</x:v>
      </x:c>
      <x:c r="H12" s="12" t="str">
        <x:v>Redis standalone/sentinel/cluster 또는 명시 지원범위 실제 실행</x:v>
      </x:c>
      <x:c r="I12" s="12" t="str">
        <x:v>CPF-QA-D04-REDIS-025</x:v>
      </x:c>
      <x:c r="J12" s="12" t="str">
        <x:v>미실행을 성공으로 기록 금지</x:v>
      </x:c>
    </x:row>
    <x:row r="13">
      <x:c r="A13" s="12" t="str">
        <x:v>CPF-KG-012</x:v>
      </x:c>
      <x:c r="B13" s="12" t="str">
        <x:v>미검증</x:v>
      </x:c>
      <x:c r="C13" s="12" t="str">
        <x:v>P0</x:v>
      </x:c>
      <x:c r="D13" s="12" t="str">
        <x:v>RuntimeRequired</x:v>
      </x:c>
      <x:c r="E13" s="12" t="str">
        <x:v>Excel Upload 업무 Framework</x:v>
      </x:c>
      <x:c r="F13" s="12" t="str">
        <x:v>Repository 전체</x:v>
      </x:c>
      <x:c r="G13" s="12" t="str">
        <x:v>일반 첨부와 별개인 template/dry-run/row result/async apply 전체 경로는 전수 Source·Runtime 확인이 필요하다.</x:v>
      </x:c>
      <x:c r="H13" s="12" t="str">
        <x:v>endpoint/service/job/db/ui 전체 검색과 browser/runtime</x:v>
      </x:c>
      <x:c r="I13" s="12" t="str">
        <x:v>CPF-QA-D04-XLUP-001</x:v>
      </x:c>
      <x:c r="J13" s="12" t="str">
        <x:v>검색 미완료 상태를 미구현 확정 또는 완료로 기록 금지</x:v>
      </x:c>
    </x:row>
    <x:row r="14">
      <x:c r="A14" s="12" t="str">
        <x:v>CPF-KG-013</x:v>
      </x:c>
      <x:c r="B14" s="12" t="str">
        <x:v>미검증</x:v>
      </x:c>
      <x:c r="C14" s="12" t="str">
        <x:v>P0</x:v>
      </x:c>
      <x:c r="D14" s="12" t="str">
        <x:v>RuntimeRequired</x:v>
      </x:c>
      <x:c r="E14" s="12" t="str">
        <x:v>전체 버튼별 권한 parity</x:v>
      </x:c>
      <x:c r="F14" s="12" t="str">
        <x:v>ADM/BZA/backend 전체</x:v>
      </x:c>
      <x:c r="G14" s="12" t="str">
        <x:v>표본 화면에서 generic 권한이 확인됐으나 모든 버튼·API는 전수 검수가 필요하다.</x:v>
      </x:c>
      <x:c r="H14" s="12" t="str">
        <x:v>Menu/Route/Button/API manifest와 role별 E2E</x:v>
      </x:c>
      <x:c r="I14" s="12" t="str">
        <x:v>CPF-QA-D04-ACT-001</x:v>
      </x:c>
      <x:c r="J14" s="12" t="str">
        <x:v>일부 화면 확인을 전체 판정으로 확대 금지</x:v>
      </x:c>
    </x:row>
    <x:row r="15">
      <x:c r="A15" s="12" t="str">
        <x:v>CPF-KG-014</x:v>
      </x:c>
      <x:c r="B15" s="12" t="str">
        <x:v>미검증</x:v>
      </x:c>
      <x:c r="C15" s="12" t="str">
        <x:v>P0</x:v>
      </x:c>
      <x:c r="D15" s="12" t="str">
        <x:v>RuntimeRequired</x:v>
      </x:c>
      <x:c r="E15" s="12" t="str">
        <x:v>기존 1,873+신규 Requirement 최신 SHA 재판정</x:v>
      </x:c>
      <x:c r="F15" s="12" t="str">
        <x:v>QA Inventory 전체</x:v>
      </x:c>
      <x:c r="G15" s="12" t="str">
        <x:v>기존 패키지 수량은 요구 목록이며 최신 Source 실행 결과가 아니다.</x:v>
      </x:c>
      <x:c r="H15" s="12" t="str">
        <x:v>각 ID별 exact SHA evidence 연결</x:v>
      </x:c>
      <x:c r="I15" s="12" t="str">
        <x:v>CPF-QA-D04-QAE-003</x:v>
      </x:c>
      <x:c r="J15" s="12" t="str">
        <x:v>Inventory 존재를 구현 완료로 처리 금지</x:v>
      </x:c>
    </x:row>
  </x:sheetData>
  <x:pageMargins left="0.7" right="0.7" top="0.75" bottom="0.75" header="0.3" footer="0.3"/>
  <x:tableParts count="1">
    <x:tablePart xmlns:r="http://schemas.openxmlformats.org/officeDocument/2006/relationships" r:id="R0365406add174ae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4" max="4" width="18" hidden="0" customWidth="1"/>
    <x:col min="5" max="5" width="12" hidden="0" customWidth="1"/>
    <x:col min="7" max="7" width="18" hidden="0" customWidth="1"/>
    <x:col min="8" max="8" width="12" hidden="0" customWidth="1"/>
  </x:cols>
  <x:sheetData>
    <x:row r="1">
      <x:c r="A1" s="32" t="str">
        <x:v>CPF Enterprise 재 QA Tracker — 20260729_05</x:v>
      </x:c>
      <x:c r="B1" s="12"/>
      <x:c r="C1" s="12"/>
      <x:c r="D1" s="12"/>
      <x:c r="E1" s="12"/>
      <x:c r="F1" s="12"/>
      <x:c r="G1" s="12"/>
      <x:c r="H1" s="12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33" t="str">
        <x:v>항목</x:v>
      </x:c>
      <x:c r="B3" s="33" t="str">
        <x:v>값</x:v>
      </x:c>
      <x:c r="C3" s="12"/>
      <x:c r="D3" s="33" t="str">
        <x:v>전체 상태</x:v>
      </x:c>
      <x:c r="E3" s="33" t="str">
        <x:v>건수</x:v>
      </x:c>
      <x:c r="F3" s="12"/>
      <x:c r="G3" s="33" t="str">
        <x:v>신규 Area</x:v>
      </x:c>
      <x:c r="H3" s="33" t="str">
        <x:v>건수</x:v>
      </x:c>
    </x:row>
    <x:row r="4">
      <x:c r="A4" s="12" t="str">
        <x:v>Repository</x:v>
      </x:c>
      <x:c r="B4" s="12" t="str">
        <x:v>freeangelsun/202412_01_CPF</x:v>
      </x:c>
      <x:c r="C4" s="12"/>
      <x:c r="D4" s="12" t="str">
        <x:v>실패</x:v>
      </x:c>
      <x:c r="E4" s="12" t="n">
        <x:f>COUNTIF(Inventory!$D$2:$D$817,"실패")</x:f>
        <x:v>9</x:v>
      </x:c>
      <x:c r="F4" s="12"/>
      <x:c r="G4" s="12" t="str">
        <x:v>ACT</x:v>
      </x:c>
      <x:c r="H4" s="12" t="n">
        <x:f>COUNTIFS(Inventory!$B$2:$B$817,"ACT")</x:f>
        <x:v>15</x:v>
      </x:c>
    </x:row>
    <x:row r="5">
      <x:c r="A5" s="12" t="str">
        <x:v>기준 SHA</x:v>
      </x:c>
      <x:c r="B5" s="12" t="str">
        <x:v>b8941577b99535ff3e64a4fad99b74bafa544227</x:v>
      </x:c>
      <x:c r="C5" s="12"/>
      <x:c r="D5" s="12" t="str">
        <x:v>부분 구현</x:v>
      </x:c>
      <x:c r="E5" s="12" t="n">
        <x:f>COUNTIF(Inventory!$D$2:$D$817,"부분 구현")</x:f>
        <x:v>462</x:v>
      </x:c>
      <x:c r="F5" s="12"/>
      <x:c r="G5" s="12" t="str">
        <x:v>HYG</x:v>
      </x:c>
      <x:c r="H5" s="12" t="n">
        <x:f>COUNTIFS(Inventory!$B$2:$B$817,"HYG")</x:f>
        <x:v>14</x:v>
      </x:c>
    </x:row>
    <x:row r="6">
      <x:c r="A6" s="12" t="str">
        <x:v>기존 Delta 요구</x:v>
      </x:c>
      <x:c r="B6" s="12" t="n">
        <x:v>659</x:v>
      </x:c>
      <x:c r="C6" s="12"/>
      <x:c r="D6" s="12" t="str">
        <x:v>미구현</x:v>
      </x:c>
      <x:c r="E6" s="12" t="n">
        <x:f>COUNTIF(Inventory!$D$2:$D$817,"미구현")</x:f>
        <x:v>34</x:v>
      </x:c>
      <x:c r="F6" s="12"/>
      <x:c r="G6" s="12" t="str">
        <x:v>PKG</x:v>
      </x:c>
      <x:c r="H6" s="12" t="n">
        <x:f>COUNTIFS(Inventory!$B$2:$B$817,"PKG")</x:f>
        <x:v>18</x:v>
      </x:c>
    </x:row>
    <x:row r="7">
      <x:c r="A7" s="12" t="str">
        <x:v>신규 요구</x:v>
      </x:c>
      <x:c r="B7" s="12" t="n">
        <x:v>157</x:v>
      </x:c>
      <x:c r="C7" s="12"/>
      <x:c r="D7" s="12" t="str">
        <x:v>미검증</x:v>
      </x:c>
      <x:c r="E7" s="12" t="n">
        <x:f>COUNTIF(Inventory!$D$2:$D$817,"미검증")</x:f>
        <x:v>51</x:v>
      </x:c>
      <x:c r="F7" s="12"/>
      <x:c r="G7" s="12" t="str">
        <x:v>QAE</x:v>
      </x:c>
      <x:c r="H7" s="12" t="n">
        <x:f>COUNTIFS(Inventory!$B$2:$B$817,"QAE")</x:f>
        <x:v>12</x:v>
      </x:c>
    </x:row>
    <x:row r="8">
      <x:c r="A8" s="12" t="str">
        <x:v>병합 Delta 요구</x:v>
      </x:c>
      <x:c r="B8" s="12" t="n">
        <x:f>COUNTA(Inventory!A2:A817)</x:f>
        <x:v>816</x:v>
      </x:c>
      <x:c r="C8" s="12"/>
      <x:c r="D8" s="12" t="str">
        <x:v>재확인 필요</x:v>
      </x:c>
      <x:c r="E8" s="12" t="n">
        <x:f>COUNTIF(Inventory!$D$2:$D$817,"재확인 필요")</x:f>
        <x:v>260</x:v>
      </x:c>
      <x:c r="F8" s="12"/>
      <x:c r="G8" s="12" t="str">
        <x:v>REDIS</x:v>
      </x:c>
      <x:c r="H8" s="12" t="n">
        <x:f>COUNTIFS(Inventory!$B$2:$B$817,"REDIS")</x:f>
        <x:v>26</x:v>
      </x:c>
    </x:row>
    <x:row r="9">
      <x:c r="A9" s="12" t="str">
        <x:v>기존 시나리오</x:v>
      </x:c>
      <x:c r="B9" s="12" t="n">
        <x:v>240</x:v>
      </x:c>
      <x:c r="C9" s="12"/>
      <x:c r="D9" s="12" t="str">
        <x:v>완료</x:v>
      </x:c>
      <x:c r="E9" s="12" t="n">
        <x:f>COUNTIF(Inventory!$D$2:$D$817,"완료")</x:f>
        <x:v>0</x:v>
      </x:c>
      <x:c r="F9" s="12"/>
      <x:c r="G9" s="12" t="str">
        <x:v>RTCRES</x:v>
      </x:c>
      <x:c r="H9" s="12" t="n">
        <x:f>COUNTIFS(Inventory!$B$2:$B$817,"RTCRES")</x:f>
        <x:v>18</x:v>
      </x:c>
    </x:row>
    <x:row r="10">
      <x:c r="A10" s="12" t="str">
        <x:v>신규 시나리오</x:v>
      </x:c>
      <x:c r="B10" s="12" t="n">
        <x:v>59</x:v>
      </x:c>
      <x:c r="C10" s="12"/>
      <x:c r="D10" s="12"/>
      <x:c r="E10" s="12"/>
      <x:c r="F10" s="12"/>
      <x:c r="G10" s="12" t="str">
        <x:v>UIX</x:v>
      </x:c>
      <x:c r="H10" s="12" t="n">
        <x:f>COUNTIFS(Inventory!$B$2:$B$817,"UIX")</x:f>
        <x:v>24</x:v>
      </x:c>
    </x:row>
    <x:row r="11">
      <x:c r="A11" s="12"/>
      <x:c r="B11" s="12"/>
      <x:c r="C11" s="12"/>
      <x:c r="D11" s="12"/>
      <x:c r="E11" s="12"/>
      <x:c r="F11" s="12"/>
      <x:c r="G11" s="12" t="str">
        <x:v>XLDN</x:v>
      </x:c>
      <x:c r="H11" s="12" t="n">
        <x:f>COUNTIFS(Inventory!$B$2:$B$817,"XLDN")</x:f>
        <x:v>14</x:v>
      </x:c>
    </x:row>
    <x:row r="12">
      <x:c r="A12" s="34" t="str">
        <x:v>완료 판정 핵심</x:v>
      </x:c>
      <x:c r="B12" s="12" t="str"/>
      <x:c r="C12" s="12" t="str"/>
      <x:c r="D12" s="12" t="str"/>
      <x:c r="E12" s="12" t="str"/>
      <x:c r="F12" s="12" t="str"/>
      <x:c r="G12" s="12" t="str"/>
      <x:c r="H12" s="12" t="str"/>
    </x:row>
    <x:row r="13">
      <x:c r="A13" s="12" t="str">
        <x:v>1</x:v>
      </x:c>
      <x:c r="B13" s="12" t="str">
        <x:v>기존 요구·시나리오 삭제 금지</x:v>
      </x:c>
      <x:c r="C13" s="12" t="str"/>
      <x:c r="D13" s="12" t="str"/>
      <x:c r="E13" s="12" t="str"/>
      <x:c r="F13" s="12" t="str"/>
      <x:c r="G13" s="12" t="str"/>
      <x:c r="H13" s="12" t="str"/>
    </x:row>
    <x:row r="14">
      <x:c r="A14" s="12" t="str">
        <x:v>2</x:v>
      </x:c>
      <x:c r="B14" s="12" t="str">
        <x:v>SourceConfirmed / RuntimeRequired / NewRequirement 분리</x:v>
      </x:c>
      <x:c r="C14" s="12" t="str"/>
      <x:c r="D14" s="12" t="str"/>
      <x:c r="E14" s="12" t="str"/>
      <x:c r="F14" s="12" t="str"/>
      <x:c r="G14" s="12" t="str"/>
      <x:c r="H14" s="12" t="str"/>
    </x:row>
    <x:row r="15">
      <x:c r="A15" s="12" t="str">
        <x:v>3</x:v>
      </x:c>
      <x:c r="B15" s="12" t="str">
        <x:v>최신 exact SHA Runtime Evidence 없으면 완료 금지</x:v>
      </x:c>
      <x:c r="C15" s="12" t="str"/>
      <x:c r="D15" s="12" t="str"/>
      <x:c r="E15" s="12" t="str"/>
      <x:c r="F15" s="12" t="str"/>
      <x:c r="G15" s="12" t="str"/>
      <x:c r="H15" s="12" t="str"/>
    </x:row>
    <x:row r="16">
      <x:c r="A16" s="12" t="str">
        <x:v>4</x:v>
      </x:c>
      <x:c r="B16" s="12" t="str">
        <x:v>사용자 승인 전 Git Commit·Push·Branch·Tag·Release 금지</x:v>
      </x:c>
      <x:c r="C16" s="12" t="str"/>
      <x:c r="D16" s="12" t="str"/>
      <x:c r="E16" s="12" t="str"/>
      <x:c r="F16" s="12" t="str"/>
      <x:c r="G16" s="12" t="str"/>
      <x:c r="H16" s="12" t="str"/>
    </x:row>
    <x:row r="17">
      <x:c r="A17" s="12"/>
      <x:c r="B17" s="12"/>
      <x:c r="C17" s="12"/>
      <x:c r="D17" s="12"/>
      <x:c r="E17" s="12"/>
      <x:c r="F17" s="12"/>
      <x:c r="G17" s="12"/>
      <x:c r="H17" s="12"/>
    </x:row>
    <x:row r="18">
      <x:c r="A18" s="12"/>
      <x:c r="B18" s="12"/>
      <x:c r="C18" s="12"/>
      <x:c r="D18" s="12"/>
      <x:c r="E18" s="12"/>
      <x:c r="F18" s="12"/>
      <x:c r="G18" s="12"/>
      <x:c r="H18" s="12"/>
    </x:row>
    <x:row r="19">
      <x:c r="A19" s="12"/>
      <x:c r="B19" s="12"/>
      <x:c r="C19" s="12"/>
      <x:c r="D19" s="12"/>
      <x:c r="E19" s="12"/>
      <x:c r="F19" s="12"/>
      <x:c r="G19" s="12"/>
      <x:c r="H19" s="12"/>
    </x:row>
    <x:row r="20">
      <x:c r="A20" s="12"/>
      <x:c r="B20" s="12"/>
      <x:c r="C20" s="12"/>
      <x:c r="D20" s="12"/>
      <x:c r="E20" s="12"/>
      <x:c r="F20" s="12"/>
      <x:c r="G20" s="12"/>
      <x:c r="H20" s="12"/>
    </x:row>
  </x:sheetData>
  <x:mergeCells>
    <x:mergeCell ref="A1:H1"/>
    <x:mergeCell ref="A12:H12"/>
  </x:mergeCells>
  <x:pageMargins left="0.7" right="0.7" top="0.75" bottom="0.75" header="0.3" footer="0.3"/>
  <x:drawing xmlns:r="http://schemas.openxmlformats.org/officeDocument/2006/relationships" r:id="Re11575cdbc484c22"/>
</x:worksheet>
</file>